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 name="Notes" sheetId="2" state="visible" r:id="rId4"/>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<sst xmlns="http://schemas.openxmlformats.org/spreadsheetml/2006/main" count="299" uniqueCount="149">
  <si>
    <t xml:space="preserve">Id</t>
  </si>
  <si>
    <t xml:space="preserve">Section</t>
  </si>
  <si>
    <t xml:space="preserve">Name</t>
  </si>
  <si>
    <t xml:space="preserve">Deps on (1)</t>
  </si>
  <si>
    <t xml:space="preserve">Deps on (2)</t>
  </si>
  <si>
    <t xml:space="preserve">Deps on (3)</t>
  </si>
  <si>
    <t xml:space="preserve">Deps on (4)</t>
  </si>
  <si>
    <t xml:space="preserve">Estimate</t>
  </si>
  <si>
    <t xml:space="preserve">Low Estimate</t>
  </si>
  <si>
    <t xml:space="preserve">High Estimate</t>
  </si>
  <si>
    <t xml:space="preserve">Weather-dependent</t>
  </si>
  <si>
    <t xml:space="preserve">Can Expedite</t>
  </si>
  <si>
    <t xml:space="preserve">Date</t>
  </si>
  <si>
    <t xml:space="preserve">Duration</t>
  </si>
  <si>
    <t xml:space="preserve">ES</t>
  </si>
  <si>
    <t xml:space="preserve">EF</t>
  </si>
  <si>
    <t xml:space="preserve">LF</t>
  </si>
  <si>
    <t xml:space="preserve">LS</t>
  </si>
  <si>
    <t xml:space="preserve">Slack</t>
  </si>
  <si>
    <t xml:space="preserve">T0</t>
  </si>
  <si>
    <t xml:space="preserve">terrace</t>
  </si>
  <si>
    <t xml:space="preserve">terrace start</t>
  </si>
  <si>
    <t xml:space="preserve">P0</t>
  </si>
  <si>
    <t xml:space="preserve">T1</t>
  </si>
  <si>
    <t xml:space="preserve">window surrounds</t>
  </si>
  <si>
    <t xml:space="preserve">T2</t>
  </si>
  <si>
    <t xml:space="preserve">waterproofing</t>
  </si>
  <si>
    <t xml:space="preserve">T3</t>
  </si>
  <si>
    <t xml:space="preserve">insulation</t>
  </si>
  <si>
    <t xml:space="preserve">T4</t>
  </si>
  <si>
    <t xml:space="preserve">deck concrete</t>
  </si>
  <si>
    <t xml:space="preserve">yes</t>
  </si>
  <si>
    <t xml:space="preserve">T5</t>
  </si>
  <si>
    <t xml:space="preserve">stairs concrete</t>
  </si>
  <si>
    <t xml:space="preserve">T6</t>
  </si>
  <si>
    <t xml:space="preserve">aluminum rails</t>
  </si>
  <si>
    <t xml:space="preserve">T7</t>
  </si>
  <si>
    <t xml:space="preserve">masonry</t>
  </si>
  <si>
    <t xml:space="preserve">B0</t>
  </si>
  <si>
    <t xml:space="preserve">b/c/k</t>
  </si>
  <si>
    <t xml:space="preserve">bookstore start</t>
  </si>
  <si>
    <t xml:space="preserve">B1</t>
  </si>
  <si>
    <t xml:space="preserve">drywall</t>
  </si>
  <si>
    <t xml:space="preserve">B2</t>
  </si>
  <si>
    <t xml:space="preserve">hard tile</t>
  </si>
  <si>
    <t xml:space="preserve">B3</t>
  </si>
  <si>
    <t xml:space="preserve">stone columns</t>
  </si>
  <si>
    <t xml:space="preserve">B4</t>
  </si>
  <si>
    <t xml:space="preserve">millwork</t>
  </si>
  <si>
    <t xml:space="preserve">B5</t>
  </si>
  <si>
    <t xml:space="preserve">casework</t>
  </si>
  <si>
    <t xml:space="preserve">B6</t>
  </si>
  <si>
    <t xml:space="preserve">flooring</t>
  </si>
  <si>
    <t xml:space="preserve">B7</t>
  </si>
  <si>
    <t xml:space="preserve">glass installation</t>
  </si>
  <si>
    <t xml:space="preserve">B8</t>
  </si>
  <si>
    <t xml:space="preserve">painting</t>
  </si>
  <si>
    <t xml:space="preserve">B9</t>
  </si>
  <si>
    <t xml:space="preserve">doors and hardware</t>
  </si>
  <si>
    <t xml:space="preserve">B10</t>
  </si>
  <si>
    <t xml:space="preserve">MEP</t>
  </si>
  <si>
    <t xml:space="preserve">S0</t>
  </si>
  <si>
    <t xml:space="preserve">sanctuary</t>
  </si>
  <si>
    <t xml:space="preserve">sanctuary start</t>
  </si>
  <si>
    <t xml:space="preserve">S1</t>
  </si>
  <si>
    <t xml:space="preserve">S2</t>
  </si>
  <si>
    <t xml:space="preserve">core drill for rails</t>
  </si>
  <si>
    <t xml:space="preserve">S3</t>
  </si>
  <si>
    <t xml:space="preserve">install rails</t>
  </si>
  <si>
    <t xml:space="preserve">S4</t>
  </si>
  <si>
    <t xml:space="preserve">install carpeting at seats</t>
  </si>
  <si>
    <t xml:space="preserve">S5</t>
  </si>
  <si>
    <t xml:space="preserve">carpeting at rails</t>
  </si>
  <si>
    <t xml:space="preserve">S6</t>
  </si>
  <si>
    <t xml:space="preserve">wood paneling, trim and stage</t>
  </si>
  <si>
    <t xml:space="preserve">S7</t>
  </si>
  <si>
    <t xml:space="preserve">S10</t>
  </si>
  <si>
    <t xml:space="preserve">S8</t>
  </si>
  <si>
    <t xml:space="preserve">concrete floor staining</t>
  </si>
  <si>
    <t xml:space="preserve">S9</t>
  </si>
  <si>
    <t xml:space="preserve">installation of seats</t>
  </si>
  <si>
    <t xml:space="preserve">wood stage steps</t>
  </si>
  <si>
    <t xml:space="preserve">S11</t>
  </si>
  <si>
    <t xml:space="preserve">install carpet (steps, flats, aisles)</t>
  </si>
  <si>
    <t xml:space="preserve">S12</t>
  </si>
  <si>
    <t xml:space="preserve">install doors and hardware</t>
  </si>
  <si>
    <t xml:space="preserve">L0</t>
  </si>
  <si>
    <t xml:space="preserve">lobby</t>
  </si>
  <si>
    <t xml:space="preserve">lobby start</t>
  </si>
  <si>
    <t xml:space="preserve">L1</t>
  </si>
  <si>
    <t xml:space="preserve">millwork for reception</t>
  </si>
  <si>
    <t xml:space="preserve">L2</t>
  </si>
  <si>
    <t xml:space="preserve">millwork for walls and rails</t>
  </si>
  <si>
    <t xml:space="preserve">L3</t>
  </si>
  <si>
    <t xml:space="preserve">hard ceiling</t>
  </si>
  <si>
    <t xml:space="preserve">L4</t>
  </si>
  <si>
    <t xml:space="preserve">install drywall</t>
  </si>
  <si>
    <t xml:space="preserve">L5</t>
  </si>
  <si>
    <t xml:space="preserve">L6</t>
  </si>
  <si>
    <t xml:space="preserve">concrete for carpet areas</t>
  </si>
  <si>
    <t xml:space="preserve">L7</t>
  </si>
  <si>
    <t xml:space="preserve">L8</t>
  </si>
  <si>
    <t xml:space="preserve">wood flooring install</t>
  </si>
  <si>
    <t xml:space="preserve">yes, formalize acclimatization precisely</t>
  </si>
  <si>
    <t xml:space="preserve">L9</t>
  </si>
  <si>
    <t xml:space="preserve">other floors, carpeting</t>
  </si>
  <si>
    <t xml:space="preserve">L10</t>
  </si>
  <si>
    <t xml:space="preserve">public restrooms</t>
  </si>
  <si>
    <t xml:space="preserve">L11</t>
  </si>
  <si>
    <t xml:space="preserve">glass and chandeliers</t>
  </si>
  <si>
    <t xml:space="preserve">L12</t>
  </si>
  <si>
    <t xml:space="preserve">ceiling tiles</t>
  </si>
  <si>
    <t xml:space="preserve">L13</t>
  </si>
  <si>
    <t xml:space="preserve">L14</t>
  </si>
  <si>
    <t xml:space="preserve">overall</t>
  </si>
  <si>
    <t xml:space="preserve">Now</t>
  </si>
  <si>
    <t xml:space="preserve">P1</t>
  </si>
  <si>
    <t xml:space="preserve">Nominal finish date</t>
  </si>
  <si>
    <t xml:space="preserve">P15</t>
  </si>
  <si>
    <t xml:space="preserve">P2</t>
  </si>
  <si>
    <t xml:space="preserve">Architect’s punch list tasks</t>
  </si>
  <si>
    <t xml:space="preserve">P3</t>
  </si>
  <si>
    <t xml:space="preserve">Inform architect of close out responsibilities</t>
  </si>
  <si>
    <t xml:space="preserve">P4</t>
  </si>
  <si>
    <t xml:space="preserve">Items completed by architecture firm</t>
  </si>
  <si>
    <t xml:space="preserve">P5</t>
  </si>
  <si>
    <t xml:space="preserve">fire marshal’s inspection</t>
  </si>
  <si>
    <t xml:space="preserve">P6</t>
  </si>
  <si>
    <t xml:space="preserve">sign general guarantee and warranty</t>
  </si>
  <si>
    <t xml:space="preserve">P7</t>
  </si>
  <si>
    <t xml:space="preserve">sign final release of lien</t>
  </si>
  <si>
    <t xml:space="preserve">P8</t>
  </si>
  <si>
    <t xml:space="preserve">ACL relinquished of responsibilities</t>
  </si>
  <si>
    <t xml:space="preserve">P9</t>
  </si>
  <si>
    <t xml:space="preserve">cleanup and ACL internal punch list</t>
  </si>
  <si>
    <t xml:space="preserve">P10</t>
  </si>
  <si>
    <t xml:space="preserve">lobby done</t>
  </si>
  <si>
    <t xml:space="preserve">P11</t>
  </si>
  <si>
    <t xml:space="preserve">sanctuary done</t>
  </si>
  <si>
    <t xml:space="preserve">P12</t>
  </si>
  <si>
    <t xml:space="preserve">terrace done</t>
  </si>
  <si>
    <t xml:space="preserve">P14</t>
  </si>
  <si>
    <t xml:space="preserve">b/c/k done</t>
  </si>
  <si>
    <t xml:space="preserve">all sections done</t>
  </si>
  <si>
    <t xml:space="preserve">Project Finish</t>
  </si>
  <si>
    <t xml:space="preserve">All estimates in days</t>
  </si>
  <si>
    <t xml:space="preserve">A task with no dependencies and an estimate can be assumed to be in progress or starting now</t>
  </si>
  <si>
    <t xml:space="preserve">Section “b/c/k” is for bookstore, cafe and kitchen</t>
  </si>
  <si>
    <t xml:space="preserve">The case presents the sanctuary as having three parts, but in reality the auditorium and the bowl are better modeled as one part and the terrace is independent of the sanctuary</t>
  </si>
</sst>
</file>

<file path=xl/styles.xml><?xml version="1.0" encoding="utf-8"?>
<styleSheet xmlns="http://schemas.openxmlformats.org/spreadsheetml/2006/main">
  <numFmts count="2">
    <numFmt numFmtId="164" formatCode="General"/>
    <numFmt numFmtId="165" formatCode="mm/dd/yy"/>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5"/>
  <sheetViews>
    <sheetView showFormulas="false" showGridLines="true" showRowColHeaders="true" showZeros="true" rightToLeft="false" tabSelected="true" showOutlineSymbols="true" defaultGridColor="true" view="normal" topLeftCell="A27" colorId="64" zoomScale="100" zoomScaleNormal="100" zoomScalePageLayoutView="100" workbookViewId="0">
      <selection pane="topLeft" activeCell="C57" activeCellId="0" sqref="C57"/>
    </sheetView>
  </sheetViews>
  <sheetFormatPr defaultColWidth="11.53515625" defaultRowHeight="12.8" zeroHeight="false" outlineLevelRow="0" outlineLevelCol="0"/>
  <cols>
    <col collapsed="false" customWidth="true" hidden="false" outlineLevel="0" max="1" min="1" style="1" width="9.21"/>
    <col collapsed="false" customWidth="true" hidden="false" outlineLevel="0" max="2" min="2" style="0" width="9.21"/>
    <col collapsed="false" customWidth="true" hidden="false" outlineLevel="0" max="3" min="3" style="0" width="43.77"/>
    <col collapsed="false" customWidth="true" hidden="false" outlineLevel="0" max="5" min="4" style="0" width="11.22"/>
    <col collapsed="false" customWidth="true" hidden="false" outlineLevel="0" max="8" min="6" style="0" width="12.83"/>
    <col collapsed="false" customWidth="true" hidden="false" outlineLevel="0" max="9" min="9" style="0" width="12.37"/>
    <col collapsed="false" customWidth="true" hidden="false" outlineLevel="0" max="10" min="10" style="0" width="12.69"/>
    <col collapsed="false" customWidth="true" hidden="false" outlineLevel="0" max="11" min="11" style="0" width="17.47"/>
    <col collapsed="false" customWidth="true" hidden="false" outlineLevel="0" max="12" min="12" style="0" width="12.37"/>
  </cols>
  <sheetData>
    <row r="1" customFormat="false" ht="12.8" hidden="false" customHeight="false" outlineLevel="0" collapsed="false">
      <c r="A1" s="1"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r="2" customFormat="false" ht="12.8" hidden="false" customHeight="false" outlineLevel="0" collapsed="false">
      <c r="A2" s="1" t="s">
        <v>19</v>
      </c>
      <c r="B2" s="0" t="s">
        <v>20</v>
      </c>
      <c r="C2" s="0" t="s">
        <v>21</v>
      </c>
      <c r="D2" s="0" t="s">
        <v>22</v>
      </c>
      <c r="N2" s="0" t="n">
        <f aca="false">IF(H2&lt;&gt;"",H2,IF(AND(I2&lt;&gt;"",J2&lt;&gt;""),(I2+J2)/2,0))</f>
        <v>0</v>
      </c>
      <c r="O2" s="0" t="n">
        <f aca="false">MAX(IFERROR(INDEX($P$2:$P$63,MATCH(D2,$A$2:$A$63,0)),0),IFERROR(INDEX($P$2:$P$63,MATCH(E2,$A$2:$A$63,0)),0),IFERROR(INDEX($P$2:$P$63,MATCH(F2,$A$2:$A$63,0)),0),IFERROR(INDEX($P$2:$P$63,MATCH(G2,$A$2:$A$63,0)),0))</f>
        <v>0</v>
      </c>
      <c r="P2" s="0" t="n">
        <f aca="false">O2+N2</f>
        <v>0</v>
      </c>
      <c r="Q2" s="0" t="n">
        <f aca="false">MIN(IF(COUNTIF($D$2:$D$63,$A2)=0,$N$65,_xlfn.MINIFS($R$2:$R$63,$D$2:$D$63,$A2)),IF(COUNTIF($E$2:$E$63,$A2)=0,$N$65,_xlfn.MINIFS($R$2:$R$63,$E$2:$E$63,$A2)),IF(COUNTIF($F$2:$F$63,$A2)=0,$N$65,_xlfn.MINIFS($R$2:$R$63,$F$2:$F$63,$A2)),IF(COUNTIF($G$2:$G$63,$A2)=0,$N$65,_xlfn.MINIFS($R$2:$R$63,$G$2:$G$63,$A2)))</f>
        <v>19.5</v>
      </c>
      <c r="R2" s="0" t="n">
        <f aca="false">Q2-N2</f>
        <v>19.5</v>
      </c>
      <c r="S2" s="0" t="n">
        <f aca="false">R2-O2</f>
        <v>19.5</v>
      </c>
    </row>
    <row r="3" customFormat="false" ht="12.8" hidden="false" customHeight="false" outlineLevel="0" collapsed="false">
      <c r="A3" s="1" t="s">
        <v>23</v>
      </c>
      <c r="B3" s="0" t="s">
        <v>20</v>
      </c>
      <c r="C3" s="0" t="s">
        <v>24</v>
      </c>
      <c r="D3" s="1" t="s">
        <v>19</v>
      </c>
      <c r="H3" s="0" t="n">
        <v>8</v>
      </c>
      <c r="N3" s="0" t="n">
        <f aca="false">IF(H3&lt;&gt;"",H3,IF(AND(I3&lt;&gt;"",J3&lt;&gt;""),(I3+J3)/2,0))</f>
        <v>8</v>
      </c>
      <c r="O3" s="0" t="n">
        <f aca="false">MAX(IFERROR(INDEX($P$2:$P$63,MATCH(D3,$A$2:$A$63,0)),0),IFERROR(INDEX($P$2:$P$63,MATCH(E3,$A$2:$A$63,0)),0),IFERROR(INDEX($P$2:$P$63,MATCH(F3,$A$2:$A$63,0)),0),IFERROR(INDEX($P$2:$P$63,MATCH(G3,$A$2:$A$63,0)),0))</f>
        <v>0</v>
      </c>
      <c r="P3" s="0" t="n">
        <f aca="false">O3+N3</f>
        <v>8</v>
      </c>
      <c r="Q3" s="0" t="n">
        <f aca="false">MIN(IF(COUNTIF($D$2:$D$63,$A3)=0,$N$65,_xlfn.MINIFS($R$2:$R$63,$D$2:$D$63,$A3)),IF(COUNTIF($E$2:$E$63,$A3)=0,$N$65,_xlfn.MINIFS($R$2:$R$63,$E$2:$E$63,$A3)),IF(COUNTIF($F$2:$F$63,$A3)=0,$N$65,_xlfn.MINIFS($R$2:$R$63,$F$2:$F$63,$A3)),IF(COUNTIF($G$2:$G$63,$A3)=0,$N$65,_xlfn.MINIFS($R$2:$R$63,$G$2:$G$63,$A3)))</f>
        <v>27.5</v>
      </c>
      <c r="R3" s="0" t="n">
        <f aca="false">Q3-N3</f>
        <v>19.5</v>
      </c>
      <c r="S3" s="0" t="n">
        <f aca="false">R3-O3</f>
        <v>19.5</v>
      </c>
    </row>
    <row r="4" customFormat="false" ht="12.8" hidden="false" customHeight="false" outlineLevel="0" collapsed="false">
      <c r="A4" s="1" t="s">
        <v>25</v>
      </c>
      <c r="B4" s="0" t="s">
        <v>20</v>
      </c>
      <c r="C4" s="0" t="s">
        <v>26</v>
      </c>
      <c r="D4" s="0" t="s">
        <v>23</v>
      </c>
      <c r="H4" s="0" t="n">
        <v>7</v>
      </c>
      <c r="N4" s="0" t="n">
        <f aca="false">IF(H4&lt;&gt;"",H4,IF(AND(I4&lt;&gt;"",J4&lt;&gt;""),(I4+J4)/2,0))</f>
        <v>7</v>
      </c>
      <c r="O4" s="0" t="n">
        <f aca="false">MAX(IFERROR(INDEX($P$2:$P$63,MATCH(D4,$A$2:$A$63,0)),0),IFERROR(INDEX($P$2:$P$63,MATCH(E4,$A$2:$A$63,0)),0),IFERROR(INDEX($P$2:$P$63,MATCH(F4,$A$2:$A$63,0)),0),IFERROR(INDEX($P$2:$P$63,MATCH(G4,$A$2:$A$63,0)),0))</f>
        <v>8</v>
      </c>
      <c r="P4" s="0" t="n">
        <f aca="false">O4+N4</f>
        <v>15</v>
      </c>
      <c r="Q4" s="0" t="n">
        <f aca="false">MIN(IF(COUNTIF($D$2:$D$63,$A4)=0,$N$65,_xlfn.MINIFS($R$2:$R$63,$D$2:$D$63,$A4)),IF(COUNTIF($E$2:$E$63,$A4)=0,$N$65,_xlfn.MINIFS($R$2:$R$63,$E$2:$E$63,$A4)),IF(COUNTIF($F$2:$F$63,$A4)=0,$N$65,_xlfn.MINIFS($R$2:$R$63,$F$2:$F$63,$A4)),IF(COUNTIF($G$2:$G$63,$A4)=0,$N$65,_xlfn.MINIFS($R$2:$R$63,$G$2:$G$63,$A4)))</f>
        <v>34.5</v>
      </c>
      <c r="R4" s="0" t="n">
        <f aca="false">Q4-N4</f>
        <v>27.5</v>
      </c>
      <c r="S4" s="0" t="n">
        <f aca="false">R4-O4</f>
        <v>19.5</v>
      </c>
    </row>
    <row r="5" customFormat="false" ht="12.8" hidden="false" customHeight="false" outlineLevel="0" collapsed="false">
      <c r="A5" s="1" t="s">
        <v>27</v>
      </c>
      <c r="B5" s="0" t="s">
        <v>20</v>
      </c>
      <c r="C5" s="0" t="s">
        <v>28</v>
      </c>
      <c r="D5" s="0" t="s">
        <v>25</v>
      </c>
      <c r="H5" s="0" t="n">
        <v>3</v>
      </c>
      <c r="N5" s="0" t="n">
        <f aca="false">IF(H5&lt;&gt;"",H5,IF(AND(I5&lt;&gt;"",J5&lt;&gt;""),(I5+J5)/2,0))</f>
        <v>3</v>
      </c>
      <c r="O5" s="0" t="n">
        <f aca="false">MAX(IFERROR(INDEX($P$2:$P$63,MATCH(D5,$A$2:$A$63,0)),0),IFERROR(INDEX($P$2:$P$63,MATCH(E5,$A$2:$A$63,0)),0),IFERROR(INDEX($P$2:$P$63,MATCH(F5,$A$2:$A$63,0)),0),IFERROR(INDEX($P$2:$P$63,MATCH(G5,$A$2:$A$63,0)),0))</f>
        <v>15</v>
      </c>
      <c r="P5" s="0" t="n">
        <f aca="false">O5+N5</f>
        <v>18</v>
      </c>
      <c r="Q5" s="0" t="n">
        <f aca="false">MIN(IF(COUNTIF($D$2:$D$63,$A5)=0,$N$65,_xlfn.MINIFS($R$2:$R$63,$D$2:$D$63,$A5)),IF(COUNTIF($E$2:$E$63,$A5)=0,$N$65,_xlfn.MINIFS($R$2:$R$63,$E$2:$E$63,$A5)),IF(COUNTIF($F$2:$F$63,$A5)=0,$N$65,_xlfn.MINIFS($R$2:$R$63,$F$2:$F$63,$A5)),IF(COUNTIF($G$2:$G$63,$A5)=0,$N$65,_xlfn.MINIFS($R$2:$R$63,$G$2:$G$63,$A5)))</f>
        <v>37.5</v>
      </c>
      <c r="R5" s="0" t="n">
        <f aca="false">Q5-N5</f>
        <v>34.5</v>
      </c>
      <c r="S5" s="0" t="n">
        <f aca="false">R5-O5</f>
        <v>19.5</v>
      </c>
    </row>
    <row r="6" customFormat="false" ht="12.8" hidden="false" customHeight="false" outlineLevel="0" collapsed="false">
      <c r="A6" s="1" t="s">
        <v>29</v>
      </c>
      <c r="B6" s="0" t="s">
        <v>20</v>
      </c>
      <c r="C6" s="0" t="s">
        <v>30</v>
      </c>
      <c r="D6" s="0" t="s">
        <v>27</v>
      </c>
      <c r="I6" s="0" t="n">
        <v>5</v>
      </c>
      <c r="J6" s="0" t="n">
        <v>10</v>
      </c>
      <c r="K6" s="0" t="s">
        <v>31</v>
      </c>
      <c r="N6" s="0" t="n">
        <f aca="false">IF(H6&lt;&gt;"",H6,IF(AND(I6&lt;&gt;"",J6&lt;&gt;""),(I6+J6)/2,0))</f>
        <v>7.5</v>
      </c>
      <c r="O6" s="0" t="n">
        <f aca="false">MAX(IFERROR(INDEX($P$2:$P$63,MATCH(D6,$A$2:$A$63,0)),0),IFERROR(INDEX($P$2:$P$63,MATCH(E6,$A$2:$A$63,0)),0),IFERROR(INDEX($P$2:$P$63,MATCH(F6,$A$2:$A$63,0)),0),IFERROR(INDEX($P$2:$P$63,MATCH(G6,$A$2:$A$63,0)),0))</f>
        <v>18</v>
      </c>
      <c r="P6" s="0" t="n">
        <f aca="false">O6+N6</f>
        <v>25.5</v>
      </c>
      <c r="Q6" s="0" t="n">
        <f aca="false">MIN(IF(COUNTIF($D$2:$D$63,$A6)=0,$N$65,_xlfn.MINIFS($R$2:$R$63,$D$2:$D$63,$A6)),IF(COUNTIF($E$2:$E$63,$A6)=0,$N$65,_xlfn.MINIFS($R$2:$R$63,$E$2:$E$63,$A6)),IF(COUNTIF($F$2:$F$63,$A6)=0,$N$65,_xlfn.MINIFS($R$2:$R$63,$F$2:$F$63,$A6)),IF(COUNTIF($G$2:$G$63,$A6)=0,$N$65,_xlfn.MINIFS($R$2:$R$63,$G$2:$G$63,$A6)))</f>
        <v>45</v>
      </c>
      <c r="R6" s="0" t="n">
        <f aca="false">Q6-N6</f>
        <v>37.5</v>
      </c>
      <c r="S6" s="0" t="n">
        <f aca="false">R6-O6</f>
        <v>19.5</v>
      </c>
    </row>
    <row r="7" customFormat="false" ht="12.8" hidden="false" customHeight="false" outlineLevel="0" collapsed="false">
      <c r="A7" s="1" t="s">
        <v>32</v>
      </c>
      <c r="B7" s="0" t="s">
        <v>20</v>
      </c>
      <c r="C7" s="0" t="s">
        <v>33</v>
      </c>
      <c r="D7" s="0" t="s">
        <v>29</v>
      </c>
      <c r="H7" s="0" t="n">
        <v>10</v>
      </c>
      <c r="L7" s="0" t="s">
        <v>31</v>
      </c>
      <c r="N7" s="0" t="n">
        <f aca="false">IF(H7&lt;&gt;"",H7,IF(AND(I7&lt;&gt;"",J7&lt;&gt;""),(I7+J7)/2,0))</f>
        <v>10</v>
      </c>
      <c r="O7" s="0" t="n">
        <f aca="false">MAX(IFERROR(INDEX($P$2:$P$63,MATCH(D7,$A$2:$A$63,0)),0),IFERROR(INDEX($P$2:$P$63,MATCH(E7,$A$2:$A$63,0)),0),IFERROR(INDEX($P$2:$P$63,MATCH(F7,$A$2:$A$63,0)),0),IFERROR(INDEX($P$2:$P$63,MATCH(G7,$A$2:$A$63,0)),0))</f>
        <v>25.5</v>
      </c>
      <c r="P7" s="0" t="n">
        <f aca="false">O7+N7</f>
        <v>35.5</v>
      </c>
      <c r="Q7" s="0" t="n">
        <f aca="false">MIN(IF(COUNTIF($D$2:$D$63,$A7)=0,$N$65,_xlfn.MINIFS($R$2:$R$63,$D$2:$D$63,$A7)),IF(COUNTIF($E$2:$E$63,$A7)=0,$N$65,_xlfn.MINIFS($R$2:$R$63,$E$2:$E$63,$A7)),IF(COUNTIF($F$2:$F$63,$A7)=0,$N$65,_xlfn.MINIFS($R$2:$R$63,$F$2:$F$63,$A7)),IF(COUNTIF($G$2:$G$63,$A7)=0,$N$65,_xlfn.MINIFS($R$2:$R$63,$G$2:$G$63,$A7)))</f>
        <v>55</v>
      </c>
      <c r="R7" s="0" t="n">
        <f aca="false">Q7-N7</f>
        <v>45</v>
      </c>
      <c r="S7" s="0" t="n">
        <f aca="false">R7-O7</f>
        <v>19.5</v>
      </c>
    </row>
    <row r="8" customFormat="false" ht="12.8" hidden="false" customHeight="false" outlineLevel="0" collapsed="false">
      <c r="A8" s="1" t="s">
        <v>34</v>
      </c>
      <c r="B8" s="0" t="s">
        <v>20</v>
      </c>
      <c r="C8" s="0" t="s">
        <v>35</v>
      </c>
      <c r="D8" s="0" t="s">
        <v>29</v>
      </c>
      <c r="H8" s="0" t="n">
        <v>5</v>
      </c>
      <c r="N8" s="0" t="n">
        <f aca="false">IF(H8&lt;&gt;"",H8,IF(AND(I8&lt;&gt;"",J8&lt;&gt;""),(I8+J8)/2,0))</f>
        <v>5</v>
      </c>
      <c r="O8" s="0" t="n">
        <f aca="false">MAX(IFERROR(INDEX($P$2:$P$63,MATCH(D8,$A$2:$A$63,0)),0),IFERROR(INDEX($P$2:$P$63,MATCH(E8,$A$2:$A$63,0)),0),IFERROR(INDEX($P$2:$P$63,MATCH(F8,$A$2:$A$63,0)),0),IFERROR(INDEX($P$2:$P$63,MATCH(G8,$A$2:$A$63,0)),0))</f>
        <v>25.5</v>
      </c>
      <c r="P8" s="0" t="n">
        <f aca="false">O8+N8</f>
        <v>30.5</v>
      </c>
      <c r="Q8" s="0" t="n">
        <f aca="false">MIN(IF(COUNTIF($D$2:$D$63,$A8)=0,$N$65,_xlfn.MINIFS($R$2:$R$63,$D$2:$D$63,$A8)),IF(COUNTIF($E$2:$E$63,$A8)=0,$N$65,_xlfn.MINIFS($R$2:$R$63,$E$2:$E$63,$A8)),IF(COUNTIF($F$2:$F$63,$A8)=0,$N$65,_xlfn.MINIFS($R$2:$R$63,$F$2:$F$63,$A8)),IF(COUNTIF($G$2:$G$63,$A8)=0,$N$65,_xlfn.MINIFS($R$2:$R$63,$G$2:$G$63,$A8)))</f>
        <v>55</v>
      </c>
      <c r="R8" s="0" t="n">
        <f aca="false">Q8-N8</f>
        <v>50</v>
      </c>
      <c r="S8" s="0" t="n">
        <f aca="false">R8-O8</f>
        <v>24.5</v>
      </c>
    </row>
    <row r="9" customFormat="false" ht="12.8" hidden="false" customHeight="false" outlineLevel="0" collapsed="false">
      <c r="A9" s="1" t="s">
        <v>36</v>
      </c>
      <c r="B9" s="0" t="s">
        <v>20</v>
      </c>
      <c r="C9" s="0" t="s">
        <v>37</v>
      </c>
      <c r="D9" s="0" t="s">
        <v>34</v>
      </c>
      <c r="E9" s="0" t="s">
        <v>32</v>
      </c>
      <c r="H9" s="0" t="n">
        <v>10</v>
      </c>
      <c r="N9" s="0" t="n">
        <f aca="false">IF(H9&lt;&gt;"",H9,IF(AND(I9&lt;&gt;"",J9&lt;&gt;""),(I9+J9)/2,0))</f>
        <v>10</v>
      </c>
      <c r="O9" s="0" t="n">
        <f aca="false">MAX(IFERROR(INDEX($P$2:$P$63,MATCH(D9,$A$2:$A$63,0)),0),IFERROR(INDEX($P$2:$P$63,MATCH(E9,$A$2:$A$63,0)),0),IFERROR(INDEX($P$2:$P$63,MATCH(F9,$A$2:$A$63,0)),0),IFERROR(INDEX($P$2:$P$63,MATCH(G9,$A$2:$A$63,0)),0))</f>
        <v>35.5</v>
      </c>
      <c r="P9" s="0" t="n">
        <f aca="false">O9+N9</f>
        <v>45.5</v>
      </c>
      <c r="Q9" s="0" t="n">
        <f aca="false">MIN(IF(COUNTIF($D$2:$D$63,$A9)=0,$N$65,_xlfn.MINIFS($R$2:$R$63,$D$2:$D$63,$A9)),IF(COUNTIF($E$2:$E$63,$A9)=0,$N$65,_xlfn.MINIFS($R$2:$R$63,$E$2:$E$63,$A9)),IF(COUNTIF($F$2:$F$63,$A9)=0,$N$65,_xlfn.MINIFS($R$2:$R$63,$F$2:$F$63,$A9)),IF(COUNTIF($G$2:$G$63,$A9)=0,$N$65,_xlfn.MINIFS($R$2:$R$63,$G$2:$G$63,$A9)))</f>
        <v>65</v>
      </c>
      <c r="R9" s="0" t="n">
        <f aca="false">Q9-N9</f>
        <v>55</v>
      </c>
      <c r="S9" s="0" t="n">
        <f aca="false">R9-O9</f>
        <v>19.5</v>
      </c>
    </row>
    <row r="10" customFormat="false" ht="12.8" hidden="false" customHeight="false" outlineLevel="0" collapsed="false">
      <c r="A10" s="1" t="s">
        <v>38</v>
      </c>
      <c r="B10" s="0" t="s">
        <v>39</v>
      </c>
      <c r="C10" s="0" t="s">
        <v>40</v>
      </c>
      <c r="D10" s="0" t="s">
        <v>22</v>
      </c>
      <c r="N10" s="0" t="n">
        <f aca="false">IF(H10&lt;&gt;"",H10,IF(AND(I10&lt;&gt;"",J10&lt;&gt;""),(I10+J10)/2,0))</f>
        <v>0</v>
      </c>
      <c r="O10" s="0" t="n">
        <f aca="false">MAX(IFERROR(INDEX($P$2:$P$63,MATCH(D10,$A$2:$A$63,0)),0),IFERROR(INDEX($P$2:$P$63,MATCH(E10,$A$2:$A$63,0)),0),IFERROR(INDEX($P$2:$P$63,MATCH(F10,$A$2:$A$63,0)),0),IFERROR(INDEX($P$2:$P$63,MATCH(G10,$A$2:$A$63,0)),0))</f>
        <v>0</v>
      </c>
      <c r="P10" s="0" t="n">
        <f aca="false">O10+N10</f>
        <v>0</v>
      </c>
      <c r="Q10" s="0" t="n">
        <f aca="false">MIN(IF(COUNTIF($D$2:$D$63,$A10)=0,$N$65,_xlfn.MINIFS($R$2:$R$63,$D$2:$D$63,$A10)),IF(COUNTIF($E$2:$E$63,$A10)=0,$N$65,_xlfn.MINIFS($R$2:$R$63,$E$2:$E$63,$A10)),IF(COUNTIF($F$2:$F$63,$A10)=0,$N$65,_xlfn.MINIFS($R$2:$R$63,$F$2:$F$63,$A10)),IF(COUNTIF($G$2:$G$63,$A10)=0,$N$65,_xlfn.MINIFS($R$2:$R$63,$G$2:$G$63,$A10)))</f>
        <v>0</v>
      </c>
      <c r="R10" s="0" t="n">
        <f aca="false">Q10-N10</f>
        <v>0</v>
      </c>
      <c r="S10" s="0" t="n">
        <f aca="false">R10-O10</f>
        <v>0</v>
      </c>
    </row>
    <row r="11" customFormat="false" ht="12.8" hidden="false" customHeight="false" outlineLevel="0" collapsed="false">
      <c r="A11" s="1" t="s">
        <v>41</v>
      </c>
      <c r="B11" s="0" t="s">
        <v>39</v>
      </c>
      <c r="C11" s="0" t="s">
        <v>42</v>
      </c>
      <c r="D11" s="0" t="s">
        <v>38</v>
      </c>
      <c r="I11" s="0" t="n">
        <v>21</v>
      </c>
      <c r="J11" s="0" t="n">
        <v>23</v>
      </c>
      <c r="N11" s="0" t="n">
        <f aca="false">IF(H11&lt;&gt;"",H11,IF(AND(I11&lt;&gt;"",J11&lt;&gt;""),(I11+J11)/2,0))</f>
        <v>22</v>
      </c>
      <c r="O11" s="0" t="n">
        <f aca="false">MAX(IFERROR(INDEX($P$2:$P$63,MATCH(D11,$A$2:$A$63,0)),0),IFERROR(INDEX($P$2:$P$63,MATCH(E11,$A$2:$A$63,0)),0),IFERROR(INDEX($P$2:$P$63,MATCH(F11,$A$2:$A$63,0)),0),IFERROR(INDEX($P$2:$P$63,MATCH(G11,$A$2:$A$63,0)),0))</f>
        <v>0</v>
      </c>
      <c r="P11" s="0" t="n">
        <f aca="false">O11+N11</f>
        <v>22</v>
      </c>
      <c r="Q11" s="0" t="n">
        <f aca="false">MIN(IF(COUNTIF($D$2:$D$63,$A11)=0,$N$65,_xlfn.MINIFS($R$2:$R$63,$D$2:$D$63,$A11)),IF(COUNTIF($E$2:$E$63,$A11)=0,$N$65,_xlfn.MINIFS($R$2:$R$63,$E$2:$E$63,$A11)),IF(COUNTIF($F$2:$F$63,$A11)=0,$N$65,_xlfn.MINIFS($R$2:$R$63,$F$2:$F$63,$A11)),IF(COUNTIF($G$2:$G$63,$A11)=0,$N$65,_xlfn.MINIFS($R$2:$R$63,$G$2:$G$63,$A11)))</f>
        <v>22</v>
      </c>
      <c r="R11" s="0" t="n">
        <f aca="false">Q11-N11</f>
        <v>0</v>
      </c>
      <c r="S11" s="0" t="n">
        <f aca="false">R11-O11</f>
        <v>0</v>
      </c>
    </row>
    <row r="12" customFormat="false" ht="12.8" hidden="false" customHeight="false" outlineLevel="0" collapsed="false">
      <c r="A12" s="1" t="s">
        <v>43</v>
      </c>
      <c r="B12" s="0" t="s">
        <v>39</v>
      </c>
      <c r="C12" s="0" t="s">
        <v>44</v>
      </c>
      <c r="D12" s="0" t="s">
        <v>41</v>
      </c>
      <c r="H12" s="0" t="n">
        <v>10</v>
      </c>
      <c r="N12" s="0" t="n">
        <f aca="false">IF(H12&lt;&gt;"",H12,IF(AND(I12&lt;&gt;"",J12&lt;&gt;""),(I12+J12)/2,0))</f>
        <v>10</v>
      </c>
      <c r="O12" s="0" t="n">
        <f aca="false">MAX(IFERROR(INDEX($P$2:$P$63,MATCH(D12,$A$2:$A$63,0)),0),IFERROR(INDEX($P$2:$P$63,MATCH(E12,$A$2:$A$63,0)),0),IFERROR(INDEX($P$2:$P$63,MATCH(F12,$A$2:$A$63,0)),0),IFERROR(INDEX($P$2:$P$63,MATCH(G12,$A$2:$A$63,0)),0))</f>
        <v>22</v>
      </c>
      <c r="P12" s="0" t="n">
        <f aca="false">O12+N12</f>
        <v>32</v>
      </c>
      <c r="Q12" s="0" t="n">
        <f aca="false">MIN(IF(COUNTIF($D$2:$D$63,$A12)=0,$N$65,_xlfn.MINIFS($R$2:$R$63,$D$2:$D$63,$A12)),IF(COUNTIF($E$2:$E$63,$A12)=0,$N$65,_xlfn.MINIFS($R$2:$R$63,$E$2:$E$63,$A12)),IF(COUNTIF($F$2:$F$63,$A12)=0,$N$65,_xlfn.MINIFS($R$2:$R$63,$F$2:$F$63,$A12)),IF(COUNTIF($G$2:$G$63,$A12)=0,$N$65,_xlfn.MINIFS($R$2:$R$63,$G$2:$G$63,$A12)))</f>
        <v>42</v>
      </c>
      <c r="R12" s="0" t="n">
        <f aca="false">Q12-N12</f>
        <v>32</v>
      </c>
      <c r="S12" s="0" t="n">
        <f aca="false">R12-O12</f>
        <v>10</v>
      </c>
    </row>
    <row r="13" customFormat="false" ht="12.8" hidden="false" customHeight="false" outlineLevel="0" collapsed="false">
      <c r="A13" s="1" t="s">
        <v>45</v>
      </c>
      <c r="B13" s="0" t="s">
        <v>39</v>
      </c>
      <c r="C13" s="0" t="s">
        <v>46</v>
      </c>
      <c r="D13" s="0" t="s">
        <v>41</v>
      </c>
      <c r="H13" s="0" t="n">
        <v>5</v>
      </c>
      <c r="N13" s="0" t="n">
        <f aca="false">IF(H13&lt;&gt;"",H13,IF(AND(I13&lt;&gt;"",J13&lt;&gt;""),(I13+J13)/2,0))</f>
        <v>5</v>
      </c>
      <c r="O13" s="0" t="n">
        <f aca="false">MAX(IFERROR(INDEX($P$2:$P$63,MATCH(D13,$A$2:$A$63,0)),0),IFERROR(INDEX($P$2:$P$63,MATCH(E13,$A$2:$A$63,0)),0),IFERROR(INDEX($P$2:$P$63,MATCH(F13,$A$2:$A$63,0)),0),IFERROR(INDEX($P$2:$P$63,MATCH(G13,$A$2:$A$63,0)),0))</f>
        <v>22</v>
      </c>
      <c r="P13" s="0" t="n">
        <f aca="false">O13+N13</f>
        <v>27</v>
      </c>
      <c r="Q13" s="0" t="n">
        <f aca="false">MIN(IF(COUNTIF($D$2:$D$63,$A13)=0,$N$65,_xlfn.MINIFS($R$2:$R$63,$D$2:$D$63,$A13)),IF(COUNTIF($E$2:$E$63,$A13)=0,$N$65,_xlfn.MINIFS($R$2:$R$63,$E$2:$E$63,$A13)),IF(COUNTIF($F$2:$F$63,$A13)=0,$N$65,_xlfn.MINIFS($R$2:$R$63,$F$2:$F$63,$A13)),IF(COUNTIF($G$2:$G$63,$A13)=0,$N$65,_xlfn.MINIFS($R$2:$R$63,$G$2:$G$63,$A13)))</f>
        <v>42</v>
      </c>
      <c r="R13" s="0" t="n">
        <f aca="false">Q13-N13</f>
        <v>37</v>
      </c>
      <c r="S13" s="0" t="n">
        <f aca="false">R13-O13</f>
        <v>15</v>
      </c>
    </row>
    <row r="14" customFormat="false" ht="12.8" hidden="false" customHeight="false" outlineLevel="0" collapsed="false">
      <c r="A14" s="1" t="s">
        <v>47</v>
      </c>
      <c r="B14" s="0" t="s">
        <v>39</v>
      </c>
      <c r="C14" s="0" t="s">
        <v>48</v>
      </c>
      <c r="D14" s="0" t="s">
        <v>41</v>
      </c>
      <c r="I14" s="0" t="n">
        <v>15</v>
      </c>
      <c r="J14" s="0" t="n">
        <v>21</v>
      </c>
      <c r="L14" s="0" t="s">
        <v>31</v>
      </c>
      <c r="N14" s="0" t="n">
        <f aca="false">IF(H14&lt;&gt;"",H14,IF(AND(I14&lt;&gt;"",J14&lt;&gt;""),(I14+J14)/2,0))</f>
        <v>18</v>
      </c>
      <c r="O14" s="0" t="n">
        <f aca="false">MAX(IFERROR(INDEX($P$2:$P$63,MATCH(D14,$A$2:$A$63,0)),0),IFERROR(INDEX($P$2:$P$63,MATCH(E14,$A$2:$A$63,0)),0),IFERROR(INDEX($P$2:$P$63,MATCH(F14,$A$2:$A$63,0)),0),IFERROR(INDEX($P$2:$P$63,MATCH(G14,$A$2:$A$63,0)),0))</f>
        <v>22</v>
      </c>
      <c r="P14" s="0" t="n">
        <f aca="false">O14+N14</f>
        <v>40</v>
      </c>
      <c r="Q14" s="0" t="n">
        <f aca="false">MIN(IF(COUNTIF($D$2:$D$63,$A14)=0,$N$65,_xlfn.MINIFS($R$2:$R$63,$D$2:$D$63,$A14)),IF(COUNTIF($E$2:$E$63,$A14)=0,$N$65,_xlfn.MINIFS($R$2:$R$63,$E$2:$E$63,$A14)),IF(COUNTIF($F$2:$F$63,$A14)=0,$N$65,_xlfn.MINIFS($R$2:$R$63,$F$2:$F$63,$A14)),IF(COUNTIF($G$2:$G$63,$A14)=0,$N$65,_xlfn.MINIFS($R$2:$R$63,$G$2:$G$63,$A14)))</f>
        <v>40</v>
      </c>
      <c r="R14" s="0" t="n">
        <f aca="false">Q14-N14</f>
        <v>22</v>
      </c>
      <c r="S14" s="0" t="n">
        <f aca="false">R14-O14</f>
        <v>0</v>
      </c>
    </row>
    <row r="15" customFormat="false" ht="12.8" hidden="false" customHeight="false" outlineLevel="0" collapsed="false">
      <c r="A15" s="1" t="s">
        <v>49</v>
      </c>
      <c r="B15" s="0" t="s">
        <v>39</v>
      </c>
      <c r="C15" s="0" t="s">
        <v>50</v>
      </c>
      <c r="D15" s="0" t="s">
        <v>47</v>
      </c>
      <c r="H15" s="0" t="n">
        <v>5</v>
      </c>
      <c r="N15" s="0" t="n">
        <f aca="false">IF(H15&lt;&gt;"",H15,IF(AND(I15&lt;&gt;"",J15&lt;&gt;""),(I15+J15)/2,0))</f>
        <v>5</v>
      </c>
      <c r="O15" s="0" t="n">
        <f aca="false">MAX(IFERROR(INDEX($P$2:$P$63,MATCH(D15,$A$2:$A$63,0)),0),IFERROR(INDEX($P$2:$P$63,MATCH(E15,$A$2:$A$63,0)),0),IFERROR(INDEX($P$2:$P$63,MATCH(F15,$A$2:$A$63,0)),0),IFERROR(INDEX($P$2:$P$63,MATCH(G15,$A$2:$A$63,0)),0))</f>
        <v>40</v>
      </c>
      <c r="P15" s="0" t="n">
        <f aca="false">O15+N15</f>
        <v>45</v>
      </c>
      <c r="Q15" s="0" t="n">
        <f aca="false">MIN(IF(COUNTIF($D$2:$D$63,$A15)=0,$N$65,_xlfn.MINIFS($R$2:$R$63,$D$2:$D$63,$A15)),IF(COUNTIF($E$2:$E$63,$A15)=0,$N$65,_xlfn.MINIFS($R$2:$R$63,$E$2:$E$63,$A15)),IF(COUNTIF($F$2:$F$63,$A15)=0,$N$65,_xlfn.MINIFS($R$2:$R$63,$F$2:$F$63,$A15)),IF(COUNTIF($G$2:$G$63,$A15)=0,$N$65,_xlfn.MINIFS($R$2:$R$63,$G$2:$G$63,$A15)))</f>
        <v>45</v>
      </c>
      <c r="R15" s="0" t="n">
        <f aca="false">Q15-N15</f>
        <v>40</v>
      </c>
      <c r="S15" s="0" t="n">
        <f aca="false">R15-O15</f>
        <v>0</v>
      </c>
    </row>
    <row r="16" customFormat="false" ht="12.8" hidden="false" customHeight="false" outlineLevel="0" collapsed="false">
      <c r="A16" s="1" t="s">
        <v>51</v>
      </c>
      <c r="B16" s="0" t="s">
        <v>39</v>
      </c>
      <c r="C16" s="0" t="s">
        <v>52</v>
      </c>
      <c r="D16" s="0" t="s">
        <v>49</v>
      </c>
      <c r="H16" s="0" t="n">
        <v>10</v>
      </c>
      <c r="N16" s="0" t="n">
        <f aca="false">IF(H16&lt;&gt;"",H16,IF(AND(I16&lt;&gt;"",J16&lt;&gt;""),(I16+J16)/2,0))</f>
        <v>10</v>
      </c>
      <c r="O16" s="0" t="n">
        <f aca="false">MAX(IFERROR(INDEX($P$2:$P$63,MATCH(D16,$A$2:$A$63,0)),0),IFERROR(INDEX($P$2:$P$63,MATCH(E16,$A$2:$A$63,0)),0),IFERROR(INDEX($P$2:$P$63,MATCH(F16,$A$2:$A$63,0)),0),IFERROR(INDEX($P$2:$P$63,MATCH(G16,$A$2:$A$63,0)),0))</f>
        <v>45</v>
      </c>
      <c r="P16" s="0" t="n">
        <f aca="false">O16+N16</f>
        <v>55</v>
      </c>
      <c r="Q16" s="0" t="n">
        <f aca="false">MIN(IF(COUNTIF($D$2:$D$63,$A16)=0,$N$65,_xlfn.MINIFS($R$2:$R$63,$D$2:$D$63,$A16)),IF(COUNTIF($E$2:$E$63,$A16)=0,$N$65,_xlfn.MINIFS($R$2:$R$63,$E$2:$E$63,$A16)),IF(COUNTIF($F$2:$F$63,$A16)=0,$N$65,_xlfn.MINIFS($R$2:$R$63,$F$2:$F$63,$A16)),IF(COUNTIF($G$2:$G$63,$A16)=0,$N$65,_xlfn.MINIFS($R$2:$R$63,$G$2:$G$63,$A16)))</f>
        <v>55</v>
      </c>
      <c r="R16" s="0" t="n">
        <f aca="false">Q16-N16</f>
        <v>45</v>
      </c>
      <c r="S16" s="0" t="n">
        <f aca="false">R16-O16</f>
        <v>0</v>
      </c>
    </row>
    <row r="17" customFormat="false" ht="12.8" hidden="false" customHeight="false" outlineLevel="0" collapsed="false">
      <c r="A17" s="1" t="s">
        <v>53</v>
      </c>
      <c r="B17" s="0" t="s">
        <v>39</v>
      </c>
      <c r="C17" s="0" t="s">
        <v>54</v>
      </c>
      <c r="D17" s="0" t="s">
        <v>45</v>
      </c>
      <c r="E17" s="0" t="s">
        <v>43</v>
      </c>
      <c r="H17" s="0" t="n">
        <v>3</v>
      </c>
      <c r="N17" s="0" t="n">
        <f aca="false">IF(H17&lt;&gt;"",H17,IF(AND(I17&lt;&gt;"",J17&lt;&gt;""),(I17+J17)/2,0))</f>
        <v>3</v>
      </c>
      <c r="O17" s="0" t="n">
        <f aca="false">MAX(IFERROR(INDEX($P$2:$P$63,MATCH(D17,$A$2:$A$63,0)),0),IFERROR(INDEX($P$2:$P$63,MATCH(E17,$A$2:$A$63,0)),0),IFERROR(INDEX($P$2:$P$63,MATCH(F17,$A$2:$A$63,0)),0),IFERROR(INDEX($P$2:$P$63,MATCH(G17,$A$2:$A$63,0)),0))</f>
        <v>32</v>
      </c>
      <c r="P17" s="0" t="n">
        <f aca="false">O17+N17</f>
        <v>35</v>
      </c>
      <c r="Q17" s="0" t="n">
        <f aca="false">MIN(IF(COUNTIF($D$2:$D$63,$A17)=0,$N$65,_xlfn.MINIFS($R$2:$R$63,$D$2:$D$63,$A17)),IF(COUNTIF($E$2:$E$63,$A17)=0,$N$65,_xlfn.MINIFS($R$2:$R$63,$E$2:$E$63,$A17)),IF(COUNTIF($F$2:$F$63,$A17)=0,$N$65,_xlfn.MINIFS($R$2:$R$63,$F$2:$F$63,$A17)),IF(COUNTIF($G$2:$G$63,$A17)=0,$N$65,_xlfn.MINIFS($R$2:$R$63,$G$2:$G$63,$A17)))</f>
        <v>45</v>
      </c>
      <c r="R17" s="0" t="n">
        <f aca="false">Q17-N17</f>
        <v>42</v>
      </c>
      <c r="S17" s="0" t="n">
        <f aca="false">R17-O17</f>
        <v>10</v>
      </c>
    </row>
    <row r="18" customFormat="false" ht="12.8" hidden="false" customHeight="false" outlineLevel="0" collapsed="false">
      <c r="A18" s="1" t="s">
        <v>55</v>
      </c>
      <c r="B18" s="0" t="s">
        <v>39</v>
      </c>
      <c r="C18" s="0" t="s">
        <v>56</v>
      </c>
      <c r="D18" s="0" t="s">
        <v>53</v>
      </c>
      <c r="H18" s="0" t="n">
        <v>10</v>
      </c>
      <c r="N18" s="0" t="n">
        <f aca="false">IF(H18&lt;&gt;"",H18,IF(AND(I18&lt;&gt;"",J18&lt;&gt;""),(I18+J18)/2,0))</f>
        <v>10</v>
      </c>
      <c r="O18" s="0" t="n">
        <f aca="false">MAX(IFERROR(INDEX($P$2:$P$63,MATCH(D18,$A$2:$A$63,0)),0),IFERROR(INDEX($P$2:$P$63,MATCH(E18,$A$2:$A$63,0)),0),IFERROR(INDEX($P$2:$P$63,MATCH(F18,$A$2:$A$63,0)),0),IFERROR(INDEX($P$2:$P$63,MATCH(G18,$A$2:$A$63,0)),0))</f>
        <v>35</v>
      </c>
      <c r="P18" s="0" t="n">
        <f aca="false">O18+N18</f>
        <v>45</v>
      </c>
      <c r="Q18" s="0" t="n">
        <f aca="false">MIN(IF(COUNTIF($D$2:$D$63,$A18)=0,$N$65,_xlfn.MINIFS($R$2:$R$63,$D$2:$D$63,$A18)),IF(COUNTIF($E$2:$E$63,$A18)=0,$N$65,_xlfn.MINIFS($R$2:$R$63,$E$2:$E$63,$A18)),IF(COUNTIF($F$2:$F$63,$A18)=0,$N$65,_xlfn.MINIFS($R$2:$R$63,$F$2:$F$63,$A18)),IF(COUNTIF($G$2:$G$63,$A18)=0,$N$65,_xlfn.MINIFS($R$2:$R$63,$G$2:$G$63,$A18)))</f>
        <v>55</v>
      </c>
      <c r="R18" s="0" t="n">
        <f aca="false">Q18-N18</f>
        <v>45</v>
      </c>
      <c r="S18" s="0" t="n">
        <f aca="false">R18-O18</f>
        <v>10</v>
      </c>
    </row>
    <row r="19" customFormat="false" ht="12.8" hidden="false" customHeight="false" outlineLevel="0" collapsed="false">
      <c r="A19" s="1" t="s">
        <v>57</v>
      </c>
      <c r="B19" s="0" t="s">
        <v>39</v>
      </c>
      <c r="C19" s="0" t="s">
        <v>58</v>
      </c>
      <c r="D19" s="0" t="s">
        <v>55</v>
      </c>
      <c r="E19" s="0" t="s">
        <v>51</v>
      </c>
      <c r="I19" s="0" t="n">
        <v>5</v>
      </c>
      <c r="J19" s="0" t="n">
        <v>8</v>
      </c>
      <c r="N19" s="0" t="n">
        <f aca="false">IF(H19&lt;&gt;"",H19,IF(AND(I19&lt;&gt;"",J19&lt;&gt;""),(I19+J19)/2,0))</f>
        <v>6.5</v>
      </c>
      <c r="O19" s="0" t="n">
        <f aca="false">MAX(IFERROR(INDEX($P$2:$P$63,MATCH(D19,$A$2:$A$63,0)),0),IFERROR(INDEX($P$2:$P$63,MATCH(E19,$A$2:$A$63,0)),0),IFERROR(INDEX($P$2:$P$63,MATCH(F19,$A$2:$A$63,0)),0),IFERROR(INDEX($P$2:$P$63,MATCH(G19,$A$2:$A$63,0)),0))</f>
        <v>55</v>
      </c>
      <c r="P19" s="0" t="n">
        <f aca="false">O19+N19</f>
        <v>61.5</v>
      </c>
      <c r="Q19" s="0" t="n">
        <f aca="false">MIN(IF(COUNTIF($D$2:$D$63,$A19)=0,$N$65,_xlfn.MINIFS($R$2:$R$63,$D$2:$D$63,$A19)),IF(COUNTIF($E$2:$E$63,$A19)=0,$N$65,_xlfn.MINIFS($R$2:$R$63,$E$2:$E$63,$A19)),IF(COUNTIF($F$2:$F$63,$A19)=0,$N$65,_xlfn.MINIFS($R$2:$R$63,$F$2:$F$63,$A19)),IF(COUNTIF($G$2:$G$63,$A19)=0,$N$65,_xlfn.MINIFS($R$2:$R$63,$G$2:$G$63,$A19)))</f>
        <v>65</v>
      </c>
      <c r="R19" s="0" t="n">
        <f aca="false">Q19-N19</f>
        <v>58.5</v>
      </c>
      <c r="S19" s="0" t="n">
        <f aca="false">R19-O19</f>
        <v>3.5</v>
      </c>
    </row>
    <row r="20" customFormat="false" ht="12.8" hidden="false" customHeight="false" outlineLevel="0" collapsed="false">
      <c r="A20" s="1" t="s">
        <v>59</v>
      </c>
      <c r="B20" s="0" t="s">
        <v>39</v>
      </c>
      <c r="C20" s="0" t="s">
        <v>60</v>
      </c>
      <c r="D20" s="0" t="s">
        <v>55</v>
      </c>
      <c r="E20" s="0" t="s">
        <v>51</v>
      </c>
      <c r="H20" s="0" t="n">
        <v>10</v>
      </c>
      <c r="N20" s="0" t="n">
        <f aca="false">IF(H20&lt;&gt;"",H20,IF(AND(I20&lt;&gt;"",J20&lt;&gt;""),(I20+J20)/2,0))</f>
        <v>10</v>
      </c>
      <c r="O20" s="0" t="n">
        <f aca="false">MAX(IFERROR(INDEX($P$2:$P$63,MATCH(D20,$A$2:$A$63,0)),0),IFERROR(INDEX($P$2:$P$63,MATCH(E20,$A$2:$A$63,0)),0),IFERROR(INDEX($P$2:$P$63,MATCH(F20,$A$2:$A$63,0)),0),IFERROR(INDEX($P$2:$P$63,MATCH(G20,$A$2:$A$63,0)),0))</f>
        <v>55</v>
      </c>
      <c r="P20" s="0" t="n">
        <f aca="false">O20+N20</f>
        <v>65</v>
      </c>
      <c r="Q20" s="0" t="n">
        <f aca="false">MIN(IF(COUNTIF($D$2:$D$63,$A20)=0,$N$65,_xlfn.MINIFS($R$2:$R$63,$D$2:$D$63,$A20)),IF(COUNTIF($E$2:$E$63,$A20)=0,$N$65,_xlfn.MINIFS($R$2:$R$63,$E$2:$E$63,$A20)),IF(COUNTIF($F$2:$F$63,$A20)=0,$N$65,_xlfn.MINIFS($R$2:$R$63,$F$2:$F$63,$A20)),IF(COUNTIF($G$2:$G$63,$A20)=0,$N$65,_xlfn.MINIFS($R$2:$R$63,$G$2:$G$63,$A20)))</f>
        <v>65</v>
      </c>
      <c r="R20" s="0" t="n">
        <f aca="false">Q20-N20</f>
        <v>55</v>
      </c>
      <c r="S20" s="0" t="n">
        <f aca="false">R20-O20</f>
        <v>0</v>
      </c>
    </row>
    <row r="21" customFormat="false" ht="12.8" hidden="false" customHeight="false" outlineLevel="0" collapsed="false">
      <c r="A21" s="1" t="s">
        <v>61</v>
      </c>
      <c r="B21" s="0" t="s">
        <v>62</v>
      </c>
      <c r="C21" s="0" t="s">
        <v>63</v>
      </c>
      <c r="D21" s="0" t="s">
        <v>22</v>
      </c>
      <c r="N21" s="0" t="n">
        <f aca="false">IF(H21&lt;&gt;"",H21,IF(AND(I21&lt;&gt;"",J21&lt;&gt;""),(I21+J21)/2,0))</f>
        <v>0</v>
      </c>
      <c r="O21" s="0" t="n">
        <f aca="false">MAX(IFERROR(INDEX($P$2:$P$63,MATCH(D21,$A$2:$A$63,0)),0),IFERROR(INDEX($P$2:$P$63,MATCH(E21,$A$2:$A$63,0)),0),IFERROR(INDEX($P$2:$P$63,MATCH(F21,$A$2:$A$63,0)),0),IFERROR(INDEX($P$2:$P$63,MATCH(G21,$A$2:$A$63,0)),0))</f>
        <v>0</v>
      </c>
      <c r="P21" s="0" t="n">
        <f aca="false">O21+N21</f>
        <v>0</v>
      </c>
      <c r="Q21" s="0" t="n">
        <f aca="false">MIN(IF(COUNTIF($D$2:$D$63,$A21)=0,$N$65,_xlfn.MINIFS($R$2:$R$63,$D$2:$D$63,$A21)),IF(COUNTIF($E$2:$E$63,$A21)=0,$N$65,_xlfn.MINIFS($R$2:$R$63,$E$2:$E$63,$A21)),IF(COUNTIF($F$2:$F$63,$A21)=0,$N$65,_xlfn.MINIFS($R$2:$R$63,$F$2:$F$63,$A21)),IF(COUNTIF($G$2:$G$63,$A21)=0,$N$65,_xlfn.MINIFS($R$2:$R$63,$G$2:$G$63,$A21)))</f>
        <v>3</v>
      </c>
      <c r="R21" s="0" t="n">
        <f aca="false">Q21-N21</f>
        <v>3</v>
      </c>
      <c r="S21" s="0" t="n">
        <f aca="false">R21-O21</f>
        <v>3</v>
      </c>
    </row>
    <row r="22" customFormat="false" ht="12.8" hidden="false" customHeight="false" outlineLevel="0" collapsed="false">
      <c r="A22" s="1" t="s">
        <v>64</v>
      </c>
      <c r="B22" s="0" t="s">
        <v>62</v>
      </c>
      <c r="C22" s="0" t="s">
        <v>42</v>
      </c>
      <c r="D22" s="0" t="s">
        <v>61</v>
      </c>
      <c r="H22" s="0" t="n">
        <v>16</v>
      </c>
      <c r="N22" s="0" t="n">
        <f aca="false">IF(H22&lt;&gt;"",H22,IF(AND(I22&lt;&gt;"",J22&lt;&gt;""),(I22+J22)/2,0))</f>
        <v>16</v>
      </c>
      <c r="O22" s="0" t="n">
        <f aca="false">MAX(IFERROR(INDEX($P$2:$P$63,MATCH(D22,$A$2:$A$63,0)),0),IFERROR(INDEX($P$2:$P$63,MATCH(E22,$A$2:$A$63,0)),0),IFERROR(INDEX($P$2:$P$63,MATCH(F22,$A$2:$A$63,0)),0),IFERROR(INDEX($P$2:$P$63,MATCH(G22,$A$2:$A$63,0)),0))</f>
        <v>0</v>
      </c>
      <c r="P22" s="0" t="n">
        <f aca="false">O22+N22</f>
        <v>16</v>
      </c>
      <c r="Q22" s="0" t="n">
        <f aca="false">MIN(IF(COUNTIF($D$2:$D$63,$A22)=0,$N$65,_xlfn.MINIFS($R$2:$R$63,$D$2:$D$63,$A22)),IF(COUNTIF($E$2:$E$63,$A22)=0,$N$65,_xlfn.MINIFS($R$2:$R$63,$E$2:$E$63,$A22)),IF(COUNTIF($F$2:$F$63,$A22)=0,$N$65,_xlfn.MINIFS($R$2:$R$63,$F$2:$F$63,$A22)),IF(COUNTIF($G$2:$G$63,$A22)=0,$N$65,_xlfn.MINIFS($R$2:$R$63,$G$2:$G$63,$A22)))</f>
        <v>45</v>
      </c>
      <c r="R22" s="0" t="n">
        <f aca="false">Q22-N22</f>
        <v>29</v>
      </c>
      <c r="S22" s="0" t="n">
        <f aca="false">R22-O22</f>
        <v>29</v>
      </c>
    </row>
    <row r="23" customFormat="false" ht="12.8" hidden="false" customHeight="false" outlineLevel="0" collapsed="false">
      <c r="A23" s="1" t="s">
        <v>65</v>
      </c>
      <c r="B23" s="0" t="s">
        <v>62</v>
      </c>
      <c r="C23" s="0" t="s">
        <v>66</v>
      </c>
      <c r="D23" s="0" t="s">
        <v>61</v>
      </c>
      <c r="H23" s="0" t="n">
        <v>2</v>
      </c>
      <c r="N23" s="0" t="n">
        <f aca="false">IF(H23&lt;&gt;"",H23,IF(AND(I23&lt;&gt;"",J23&lt;&gt;""),(I23+J23)/2,0))</f>
        <v>2</v>
      </c>
      <c r="O23" s="0" t="n">
        <f aca="false">MAX(IFERROR(INDEX($P$2:$P$63,MATCH(D23,$A$2:$A$63,0)),0),IFERROR(INDEX($P$2:$P$63,MATCH(E23,$A$2:$A$63,0)),0),IFERROR(INDEX($P$2:$P$63,MATCH(F23,$A$2:$A$63,0)),0),IFERROR(INDEX($P$2:$P$63,MATCH(G23,$A$2:$A$63,0)),0))</f>
        <v>0</v>
      </c>
      <c r="P23" s="0" t="n">
        <f aca="false">O23+N23</f>
        <v>2</v>
      </c>
      <c r="Q23" s="0" t="n">
        <f aca="false">MIN(IF(COUNTIF($D$2:$D$63,$A23)=0,$N$65,_xlfn.MINIFS($R$2:$R$63,$D$2:$D$63,$A23)),IF(COUNTIF($E$2:$E$63,$A23)=0,$N$65,_xlfn.MINIFS($R$2:$R$63,$E$2:$E$63,$A23)),IF(COUNTIF($F$2:$F$63,$A23)=0,$N$65,_xlfn.MINIFS($R$2:$R$63,$F$2:$F$63,$A23)),IF(COUNTIF($G$2:$G$63,$A23)=0,$N$65,_xlfn.MINIFS($R$2:$R$63,$G$2:$G$63,$A23)))</f>
        <v>5</v>
      </c>
      <c r="R23" s="0" t="n">
        <f aca="false">Q23-N23</f>
        <v>3</v>
      </c>
      <c r="S23" s="0" t="n">
        <f aca="false">R23-O23</f>
        <v>3</v>
      </c>
    </row>
    <row r="24" customFormat="false" ht="12.8" hidden="false" customHeight="false" outlineLevel="0" collapsed="false">
      <c r="A24" s="1" t="s">
        <v>67</v>
      </c>
      <c r="B24" s="0" t="s">
        <v>62</v>
      </c>
      <c r="C24" s="0" t="s">
        <v>68</v>
      </c>
      <c r="D24" s="0" t="s">
        <v>65</v>
      </c>
      <c r="H24" s="0" t="n">
        <v>5</v>
      </c>
      <c r="N24" s="0" t="n">
        <f aca="false">IF(H24&lt;&gt;"",H24,IF(AND(I24&lt;&gt;"",J24&lt;&gt;""),(I24+J24)/2,0))</f>
        <v>5</v>
      </c>
      <c r="O24" s="0" t="n">
        <f aca="false">MAX(IFERROR(INDEX($P$2:$P$63,MATCH(D24,$A$2:$A$63,0)),0),IFERROR(INDEX($P$2:$P$63,MATCH(E24,$A$2:$A$63,0)),0),IFERROR(INDEX($P$2:$P$63,MATCH(F24,$A$2:$A$63,0)),0),IFERROR(INDEX($P$2:$P$63,MATCH(G24,$A$2:$A$63,0)),0))</f>
        <v>2</v>
      </c>
      <c r="P24" s="0" t="n">
        <f aca="false">O24+N24</f>
        <v>7</v>
      </c>
      <c r="Q24" s="0" t="n">
        <f aca="false">MIN(IF(COUNTIF($D$2:$D$63,$A24)=0,$N$65,_xlfn.MINIFS($R$2:$R$63,$D$2:$D$63,$A24)),IF(COUNTIF($E$2:$E$63,$A24)=0,$N$65,_xlfn.MINIFS($R$2:$R$63,$E$2:$E$63,$A24)),IF(COUNTIF($F$2:$F$63,$A24)=0,$N$65,_xlfn.MINIFS($R$2:$R$63,$F$2:$F$63,$A24)),IF(COUNTIF($G$2:$G$63,$A24)=0,$N$65,_xlfn.MINIFS($R$2:$R$63,$G$2:$G$63,$A24)))</f>
        <v>60</v>
      </c>
      <c r="R24" s="0" t="n">
        <f aca="false">Q24-N24</f>
        <v>55</v>
      </c>
      <c r="S24" s="0" t="n">
        <f aca="false">R24-O24</f>
        <v>53</v>
      </c>
    </row>
    <row r="25" customFormat="false" ht="12.8" hidden="false" customHeight="false" outlineLevel="0" collapsed="false">
      <c r="A25" s="1" t="s">
        <v>69</v>
      </c>
      <c r="B25" s="0" t="s">
        <v>62</v>
      </c>
      <c r="C25" s="0" t="s">
        <v>70</v>
      </c>
      <c r="D25" s="0" t="s">
        <v>65</v>
      </c>
      <c r="H25" s="0" t="n">
        <v>15</v>
      </c>
      <c r="N25" s="0" t="n">
        <f aca="false">IF(H25&lt;&gt;"",H25,IF(AND(I25&lt;&gt;"",J25&lt;&gt;""),(I25+J25)/2,0))</f>
        <v>15</v>
      </c>
      <c r="O25" s="0" t="n">
        <f aca="false">MAX(IFERROR(INDEX($P$2:$P$63,MATCH(D25,$A$2:$A$63,0)),0),IFERROR(INDEX($P$2:$P$63,MATCH(E25,$A$2:$A$63,0)),0),IFERROR(INDEX($P$2:$P$63,MATCH(F25,$A$2:$A$63,0)),0),IFERROR(INDEX($P$2:$P$63,MATCH(G25,$A$2:$A$63,0)),0))</f>
        <v>2</v>
      </c>
      <c r="P25" s="0" t="n">
        <f aca="false">O25+N25</f>
        <v>17</v>
      </c>
      <c r="Q25" s="0" t="n">
        <f aca="false">MIN(IF(COUNTIF($D$2:$D$63,$A25)=0,$N$65,_xlfn.MINIFS($R$2:$R$63,$D$2:$D$63,$A25)),IF(COUNTIF($E$2:$E$63,$A25)=0,$N$65,_xlfn.MINIFS($R$2:$R$63,$E$2:$E$63,$A25)),IF(COUNTIF($F$2:$F$63,$A25)=0,$N$65,_xlfn.MINIFS($R$2:$R$63,$F$2:$F$63,$A25)),IF(COUNTIF($G$2:$G$63,$A25)=0,$N$65,_xlfn.MINIFS($R$2:$R$63,$G$2:$G$63,$A25)))</f>
        <v>20</v>
      </c>
      <c r="R25" s="0" t="n">
        <f aca="false">Q25-N25</f>
        <v>5</v>
      </c>
      <c r="S25" s="0" t="n">
        <f aca="false">R25-O25</f>
        <v>3</v>
      </c>
    </row>
    <row r="26" customFormat="false" ht="12.8" hidden="false" customHeight="false" outlineLevel="0" collapsed="false">
      <c r="A26" s="1" t="s">
        <v>71</v>
      </c>
      <c r="B26" s="0" t="s">
        <v>62</v>
      </c>
      <c r="C26" s="0" t="s">
        <v>72</v>
      </c>
      <c r="D26" s="0" t="s">
        <v>67</v>
      </c>
      <c r="H26" s="0" t="n">
        <v>5</v>
      </c>
      <c r="N26" s="0" t="n">
        <f aca="false">IF(H26&lt;&gt;"",H26,IF(AND(I26&lt;&gt;"",J26&lt;&gt;""),(I26+J26)/2,0))</f>
        <v>5</v>
      </c>
      <c r="O26" s="0" t="n">
        <f aca="false">MAX(IFERROR(INDEX($P$2:$P$63,MATCH(D26,$A$2:$A$63,0)),0),IFERROR(INDEX($P$2:$P$63,MATCH(E26,$A$2:$A$63,0)),0),IFERROR(INDEX($P$2:$P$63,MATCH(F26,$A$2:$A$63,0)),0),IFERROR(INDEX($P$2:$P$63,MATCH(G26,$A$2:$A$63,0)),0))</f>
        <v>7</v>
      </c>
      <c r="P26" s="0" t="n">
        <f aca="false">O26+N26</f>
        <v>12</v>
      </c>
      <c r="Q26" s="0" t="n">
        <f aca="false">MIN(IF(COUNTIF($D$2:$D$63,$A26)=0,$N$65,_xlfn.MINIFS($R$2:$R$63,$D$2:$D$63,$A26)),IF(COUNTIF($E$2:$E$63,$A26)=0,$N$65,_xlfn.MINIFS($R$2:$R$63,$E$2:$E$63,$A26)),IF(COUNTIF($F$2:$F$63,$A26)=0,$N$65,_xlfn.MINIFS($R$2:$R$63,$F$2:$F$63,$A26)),IF(COUNTIF($G$2:$G$63,$A26)=0,$N$65,_xlfn.MINIFS($R$2:$R$63,$G$2:$G$63,$A26)))</f>
        <v>65</v>
      </c>
      <c r="R26" s="0" t="n">
        <f aca="false">Q26-N26</f>
        <v>60</v>
      </c>
      <c r="S26" s="0" t="n">
        <f aca="false">R26-O26</f>
        <v>53</v>
      </c>
    </row>
    <row r="27" customFormat="false" ht="12.8" hidden="false" customHeight="false" outlineLevel="0" collapsed="false">
      <c r="A27" s="1" t="s">
        <v>73</v>
      </c>
      <c r="B27" s="0" t="s">
        <v>62</v>
      </c>
      <c r="C27" s="0" t="s">
        <v>74</v>
      </c>
      <c r="D27" s="0" t="s">
        <v>69</v>
      </c>
      <c r="H27" s="0" t="n">
        <v>25</v>
      </c>
      <c r="N27" s="0" t="n">
        <f aca="false">IF(H27&lt;&gt;"",H27,IF(AND(I27&lt;&gt;"",J27&lt;&gt;""),(I27+J27)/2,0))</f>
        <v>25</v>
      </c>
      <c r="O27" s="0" t="n">
        <f aca="false">MAX(IFERROR(INDEX($P$2:$P$63,MATCH(D27,$A$2:$A$63,0)),0),IFERROR(INDEX($P$2:$P$63,MATCH(E27,$A$2:$A$63,0)),0),IFERROR(INDEX($P$2:$P$63,MATCH(F27,$A$2:$A$63,0)),0),IFERROR(INDEX($P$2:$P$63,MATCH(G27,$A$2:$A$63,0)),0))</f>
        <v>17</v>
      </c>
      <c r="P27" s="0" t="n">
        <f aca="false">O27+N27</f>
        <v>42</v>
      </c>
      <c r="Q27" s="0" t="n">
        <f aca="false">MIN(IF(COUNTIF($D$2:$D$63,$A27)=0,$N$65,_xlfn.MINIFS($R$2:$R$63,$D$2:$D$63,$A27)),IF(COUNTIF($E$2:$E$63,$A27)=0,$N$65,_xlfn.MINIFS($R$2:$R$63,$E$2:$E$63,$A27)),IF(COUNTIF($F$2:$F$63,$A27)=0,$N$65,_xlfn.MINIFS($R$2:$R$63,$F$2:$F$63,$A27)),IF(COUNTIF($G$2:$G$63,$A27)=0,$N$65,_xlfn.MINIFS($R$2:$R$63,$G$2:$G$63,$A27)))</f>
        <v>45</v>
      </c>
      <c r="R27" s="0" t="n">
        <f aca="false">Q27-N27</f>
        <v>20</v>
      </c>
      <c r="S27" s="0" t="n">
        <f aca="false">R27-O27</f>
        <v>3</v>
      </c>
    </row>
    <row r="28" customFormat="false" ht="12.8" hidden="false" customHeight="false" outlineLevel="0" collapsed="false">
      <c r="A28" s="1" t="s">
        <v>75</v>
      </c>
      <c r="B28" s="0" t="s">
        <v>62</v>
      </c>
      <c r="C28" s="0" t="s">
        <v>56</v>
      </c>
      <c r="D28" s="0" t="s">
        <v>76</v>
      </c>
      <c r="E28" s="0" t="s">
        <v>77</v>
      </c>
      <c r="F28" s="0" t="s">
        <v>69</v>
      </c>
      <c r="H28" s="0" t="n">
        <v>20</v>
      </c>
      <c r="N28" s="0" t="n">
        <f aca="false">IF(H28&lt;&gt;"",H28,IF(AND(I28&lt;&gt;"",J28&lt;&gt;""),(I28+J28)/2,0))</f>
        <v>20</v>
      </c>
      <c r="O28" s="0" t="n">
        <f aca="false">MAX(IFERROR(INDEX($P$2:$P$63,MATCH(D28,$A$2:$A$63,0)),0),IFERROR(INDEX($P$2:$P$63,MATCH(E28,$A$2:$A$63,0)),0),IFERROR(INDEX($P$2:$P$63,MATCH(F28,$A$2:$A$63,0)),0),IFERROR(INDEX($P$2:$P$63,MATCH(G28,$A$2:$A$63,0)),0))</f>
        <v>17</v>
      </c>
      <c r="P28" s="0" t="n">
        <f aca="false">O28+N28</f>
        <v>37</v>
      </c>
      <c r="Q28" s="0" t="n">
        <f aca="false">MIN(IF(COUNTIF($D$2:$D$63,$A28)=0,$N$65,_xlfn.MINIFS($R$2:$R$63,$D$2:$D$63,$A28)),IF(COUNTIF($E$2:$E$63,$A28)=0,$N$65,_xlfn.MINIFS($R$2:$R$63,$E$2:$E$63,$A28)),IF(COUNTIF($F$2:$F$63,$A28)=0,$N$65,_xlfn.MINIFS($R$2:$R$63,$F$2:$F$63,$A28)),IF(COUNTIF($G$2:$G$63,$A28)=0,$N$65,_xlfn.MINIFS($R$2:$R$63,$G$2:$G$63,$A28)))</f>
        <v>58.5</v>
      </c>
      <c r="R28" s="0" t="n">
        <f aca="false">Q28-N28</f>
        <v>38.5</v>
      </c>
      <c r="S28" s="0" t="n">
        <f aca="false">R28-O28</f>
        <v>21.5</v>
      </c>
    </row>
    <row r="29" customFormat="false" ht="12.8" hidden="false" customHeight="false" outlineLevel="0" collapsed="false">
      <c r="A29" s="1" t="s">
        <v>77</v>
      </c>
      <c r="B29" s="0" t="s">
        <v>62</v>
      </c>
      <c r="C29" s="0" t="s">
        <v>78</v>
      </c>
      <c r="D29" s="0" t="s">
        <v>76</v>
      </c>
      <c r="H29" s="0" t="n">
        <v>5</v>
      </c>
      <c r="N29" s="0" t="n">
        <f aca="false">IF(H29&lt;&gt;"",H29,IF(AND(I29&lt;&gt;"",J29&lt;&gt;""),(I29+J29)/2,0))</f>
        <v>5</v>
      </c>
      <c r="O29" s="0" t="n">
        <f aca="false">MAX(IFERROR(INDEX($P$2:$P$63,MATCH(D29,$A$2:$A$63,0)),0),IFERROR(INDEX($P$2:$P$63,MATCH(E29,$A$2:$A$63,0)),0),IFERROR(INDEX($P$2:$P$63,MATCH(F29,$A$2:$A$63,0)),0),IFERROR(INDEX($P$2:$P$63,MATCH(G29,$A$2:$A$63,0)),0))</f>
        <v>7</v>
      </c>
      <c r="P29" s="0" t="n">
        <f aca="false">O29+N29</f>
        <v>12</v>
      </c>
      <c r="Q29" s="0" t="n">
        <f aca="false">MIN(IF(COUNTIF($D$2:$D$63,$A29)=0,$N$65,_xlfn.MINIFS($R$2:$R$63,$D$2:$D$63,$A29)),IF(COUNTIF($E$2:$E$63,$A29)=0,$N$65,_xlfn.MINIFS($R$2:$R$63,$E$2:$E$63,$A29)),IF(COUNTIF($F$2:$F$63,$A29)=0,$N$65,_xlfn.MINIFS($R$2:$R$63,$F$2:$F$63,$A29)),IF(COUNTIF($G$2:$G$63,$A29)=0,$N$65,_xlfn.MINIFS($R$2:$R$63,$G$2:$G$63,$A29)))</f>
        <v>38.5</v>
      </c>
      <c r="R29" s="0" t="n">
        <f aca="false">Q29-N29</f>
        <v>33.5</v>
      </c>
      <c r="S29" s="0" t="n">
        <f aca="false">R29-O29</f>
        <v>26.5</v>
      </c>
    </row>
    <row r="30" customFormat="false" ht="12.8" hidden="false" customHeight="false" outlineLevel="0" collapsed="false">
      <c r="A30" s="1" t="s">
        <v>79</v>
      </c>
      <c r="B30" s="0" t="s">
        <v>62</v>
      </c>
      <c r="C30" s="0" t="s">
        <v>80</v>
      </c>
      <c r="D30" s="0" t="s">
        <v>64</v>
      </c>
      <c r="E30" s="0" t="s">
        <v>73</v>
      </c>
      <c r="H30" s="0" t="n">
        <v>20</v>
      </c>
      <c r="N30" s="0" t="n">
        <f aca="false">IF(H30&lt;&gt;"",H30,IF(AND(I30&lt;&gt;"",J30&lt;&gt;""),(I30+J30)/2,0))</f>
        <v>20</v>
      </c>
      <c r="O30" s="0" t="n">
        <f aca="false">MAX(IFERROR(INDEX($P$2:$P$63,MATCH(D30,$A$2:$A$63,0)),0),IFERROR(INDEX($P$2:$P$63,MATCH(E30,$A$2:$A$63,0)),0),IFERROR(INDEX($P$2:$P$63,MATCH(F30,$A$2:$A$63,0)),0),IFERROR(INDEX($P$2:$P$63,MATCH(G30,$A$2:$A$63,0)),0))</f>
        <v>42</v>
      </c>
      <c r="P30" s="0" t="n">
        <f aca="false">O30+N30</f>
        <v>62</v>
      </c>
      <c r="Q30" s="0" t="n">
        <f aca="false">MIN(IF(COUNTIF($D$2:$D$63,$A30)=0,$N$65,_xlfn.MINIFS($R$2:$R$63,$D$2:$D$63,$A30)),IF(COUNTIF($E$2:$E$63,$A30)=0,$N$65,_xlfn.MINIFS($R$2:$R$63,$E$2:$E$63,$A30)),IF(COUNTIF($F$2:$F$63,$A30)=0,$N$65,_xlfn.MINIFS($R$2:$R$63,$F$2:$F$63,$A30)),IF(COUNTIF($G$2:$G$63,$A30)=0,$N$65,_xlfn.MINIFS($R$2:$R$63,$G$2:$G$63,$A30)))</f>
        <v>65</v>
      </c>
      <c r="R30" s="0" t="n">
        <f aca="false">Q30-N30</f>
        <v>45</v>
      </c>
      <c r="S30" s="0" t="n">
        <f aca="false">R30-O30</f>
        <v>3</v>
      </c>
    </row>
    <row r="31" customFormat="false" ht="12.8" hidden="false" customHeight="false" outlineLevel="0" collapsed="false">
      <c r="A31" s="1" t="s">
        <v>76</v>
      </c>
      <c r="B31" s="0" t="s">
        <v>62</v>
      </c>
      <c r="C31" s="0" t="s">
        <v>81</v>
      </c>
      <c r="D31" s="0" t="s">
        <v>65</v>
      </c>
      <c r="H31" s="0" t="n">
        <v>5</v>
      </c>
      <c r="N31" s="0" t="n">
        <f aca="false">IF(H31&lt;&gt;"",H31,IF(AND(I31&lt;&gt;"",J31&lt;&gt;""),(I31+J31)/2,0))</f>
        <v>5</v>
      </c>
      <c r="O31" s="0" t="n">
        <f aca="false">MAX(IFERROR(INDEX($P$2:$P$63,MATCH(D31,$A$2:$A$63,0)),0),IFERROR(INDEX($P$2:$P$63,MATCH(E31,$A$2:$A$63,0)),0),IFERROR(INDEX($P$2:$P$63,MATCH(F31,$A$2:$A$63,0)),0),IFERROR(INDEX($P$2:$P$63,MATCH(G31,$A$2:$A$63,0)),0))</f>
        <v>2</v>
      </c>
      <c r="P31" s="0" t="n">
        <f aca="false">O31+N31</f>
        <v>7</v>
      </c>
      <c r="Q31" s="0" t="n">
        <f aca="false">MIN(IF(COUNTIF($D$2:$D$63,$A31)=0,$N$65,_xlfn.MINIFS($R$2:$R$63,$D$2:$D$63,$A31)),IF(COUNTIF($E$2:$E$63,$A31)=0,$N$65,_xlfn.MINIFS($R$2:$R$63,$E$2:$E$63,$A31)),IF(COUNTIF($F$2:$F$63,$A31)=0,$N$65,_xlfn.MINIFS($R$2:$R$63,$F$2:$F$63,$A31)),IF(COUNTIF($G$2:$G$63,$A31)=0,$N$65,_xlfn.MINIFS($R$2:$R$63,$G$2:$G$63,$A31)))</f>
        <v>33.5</v>
      </c>
      <c r="R31" s="0" t="n">
        <f aca="false">Q31-N31</f>
        <v>28.5</v>
      </c>
      <c r="S31" s="0" t="n">
        <f aca="false">R31-O31</f>
        <v>26.5</v>
      </c>
    </row>
    <row r="32" customFormat="false" ht="12.8" hidden="false" customHeight="false" outlineLevel="0" collapsed="false">
      <c r="A32" s="1" t="s">
        <v>82</v>
      </c>
      <c r="B32" s="0" t="s">
        <v>62</v>
      </c>
      <c r="C32" s="0" t="s">
        <v>83</v>
      </c>
      <c r="D32" s="0" t="s">
        <v>76</v>
      </c>
      <c r="H32" s="0" t="n">
        <v>5</v>
      </c>
      <c r="N32" s="0" t="n">
        <f aca="false">IF(H32&lt;&gt;"",H32,IF(AND(I32&lt;&gt;"",J32&lt;&gt;""),(I32+J32)/2,0))</f>
        <v>5</v>
      </c>
      <c r="O32" s="0" t="n">
        <f aca="false">MAX(IFERROR(INDEX($P$2:$P$63,MATCH(D32,$A$2:$A$63,0)),0),IFERROR(INDEX($P$2:$P$63,MATCH(E32,$A$2:$A$63,0)),0),IFERROR(INDEX($P$2:$P$63,MATCH(F32,$A$2:$A$63,0)),0),IFERROR(INDEX($P$2:$P$63,MATCH(G32,$A$2:$A$63,0)),0))</f>
        <v>7</v>
      </c>
      <c r="P32" s="0" t="n">
        <f aca="false">O32+N32</f>
        <v>12</v>
      </c>
      <c r="Q32" s="0" t="n">
        <f aca="false">MIN(IF(COUNTIF($D$2:$D$63,$A32)=0,$N$65,_xlfn.MINIFS($R$2:$R$63,$D$2:$D$63,$A32)),IF(COUNTIF($E$2:$E$63,$A32)=0,$N$65,_xlfn.MINIFS($R$2:$R$63,$E$2:$E$63,$A32)),IF(COUNTIF($F$2:$F$63,$A32)=0,$N$65,_xlfn.MINIFS($R$2:$R$63,$F$2:$F$63,$A32)),IF(COUNTIF($G$2:$G$63,$A32)=0,$N$65,_xlfn.MINIFS($R$2:$R$63,$G$2:$G$63,$A32)))</f>
        <v>65</v>
      </c>
      <c r="R32" s="0" t="n">
        <f aca="false">Q32-N32</f>
        <v>60</v>
      </c>
      <c r="S32" s="0" t="n">
        <f aca="false">R32-O32</f>
        <v>53</v>
      </c>
    </row>
    <row r="33" customFormat="false" ht="12.8" hidden="false" customHeight="false" outlineLevel="0" collapsed="false">
      <c r="A33" s="1" t="s">
        <v>84</v>
      </c>
      <c r="B33" s="0" t="s">
        <v>62</v>
      </c>
      <c r="C33" s="0" t="s">
        <v>85</v>
      </c>
      <c r="D33" s="0" t="s">
        <v>75</v>
      </c>
      <c r="E33" s="0" t="s">
        <v>73</v>
      </c>
      <c r="I33" s="0" t="n">
        <v>5</v>
      </c>
      <c r="J33" s="0" t="n">
        <v>8</v>
      </c>
      <c r="N33" s="0" t="n">
        <f aca="false">IF(H33&lt;&gt;"",H33,IF(AND(I33&lt;&gt;"",J33&lt;&gt;""),(I33+J33)/2,0))</f>
        <v>6.5</v>
      </c>
      <c r="O33" s="0" t="n">
        <f aca="false">MAX(IFERROR(INDEX($P$2:$P$63,MATCH(D33,$A$2:$A$63,0)),0),IFERROR(INDEX($P$2:$P$63,MATCH(E33,$A$2:$A$63,0)),0),IFERROR(INDEX($P$2:$P$63,MATCH(F33,$A$2:$A$63,0)),0),IFERROR(INDEX($P$2:$P$63,MATCH(G33,$A$2:$A$63,0)),0))</f>
        <v>42</v>
      </c>
      <c r="P33" s="0" t="n">
        <f aca="false">O33+N33</f>
        <v>48.5</v>
      </c>
      <c r="Q33" s="0" t="n">
        <f aca="false">MIN(IF(COUNTIF($D$2:$D$63,$A33)=0,$N$65,_xlfn.MINIFS($R$2:$R$63,$D$2:$D$63,$A33)),IF(COUNTIF($E$2:$E$63,$A33)=0,$N$65,_xlfn.MINIFS($R$2:$R$63,$E$2:$E$63,$A33)),IF(COUNTIF($F$2:$F$63,$A33)=0,$N$65,_xlfn.MINIFS($R$2:$R$63,$F$2:$F$63,$A33)),IF(COUNTIF($G$2:$G$63,$A33)=0,$N$65,_xlfn.MINIFS($R$2:$R$63,$G$2:$G$63,$A33)))</f>
        <v>65</v>
      </c>
      <c r="R33" s="0" t="n">
        <f aca="false">Q33-N33</f>
        <v>58.5</v>
      </c>
      <c r="S33" s="0" t="n">
        <f aca="false">R33-O33</f>
        <v>16.5</v>
      </c>
    </row>
    <row r="34" customFormat="false" ht="12.8" hidden="false" customHeight="false" outlineLevel="0" collapsed="false">
      <c r="A34" s="1" t="s">
        <v>86</v>
      </c>
      <c r="B34" s="0" t="s">
        <v>87</v>
      </c>
      <c r="C34" s="0" t="s">
        <v>88</v>
      </c>
      <c r="D34" s="0" t="s">
        <v>22</v>
      </c>
      <c r="N34" s="0" t="n">
        <f aca="false">IF(H34&lt;&gt;"",H34,IF(AND(I34&lt;&gt;"",J34&lt;&gt;""),(I34+J34)/2,0))</f>
        <v>0</v>
      </c>
      <c r="O34" s="0" t="n">
        <f aca="false">MAX(IFERROR(INDEX($P$2:$P$63,MATCH(D34,$A$2:$A$63,0)),0),IFERROR(INDEX($P$2:$P$63,MATCH(E34,$A$2:$A$63,0)),0),IFERROR(INDEX($P$2:$P$63,MATCH(F34,$A$2:$A$63,0)),0),IFERROR(INDEX($P$2:$P$63,MATCH(G34,$A$2:$A$63,0)),0))</f>
        <v>0</v>
      </c>
      <c r="P34" s="0" t="n">
        <f aca="false">O34+N34</f>
        <v>0</v>
      </c>
      <c r="Q34" s="0" t="n">
        <f aca="false">MIN(IF(COUNTIF($D$2:$D$63,$A34)=0,$N$65,_xlfn.MINIFS($R$2:$R$63,$D$2:$D$63,$A34)),IF(COUNTIF($E$2:$E$63,$A34)=0,$N$65,_xlfn.MINIFS($R$2:$R$63,$E$2:$E$63,$A34)),IF(COUNTIF($F$2:$F$63,$A34)=0,$N$65,_xlfn.MINIFS($R$2:$R$63,$F$2:$F$63,$A34)),IF(COUNTIF($G$2:$G$63,$A34)=0,$N$65,_xlfn.MINIFS($R$2:$R$63,$G$2:$G$63,$A34)))</f>
        <v>26.5</v>
      </c>
      <c r="R34" s="0" t="n">
        <f aca="false">Q34-N34</f>
        <v>26.5</v>
      </c>
      <c r="S34" s="0" t="n">
        <f aca="false">R34-O34</f>
        <v>26.5</v>
      </c>
    </row>
    <row r="35" customFormat="false" ht="12.8" hidden="false" customHeight="false" outlineLevel="0" collapsed="false">
      <c r="A35" s="1" t="s">
        <v>89</v>
      </c>
      <c r="B35" s="0" t="s">
        <v>87</v>
      </c>
      <c r="C35" s="0" t="s">
        <v>90</v>
      </c>
      <c r="D35" s="0" t="s">
        <v>86</v>
      </c>
      <c r="H35" s="0" t="n">
        <v>3</v>
      </c>
      <c r="N35" s="0" t="n">
        <f aca="false">IF(H35&lt;&gt;"",H35,IF(AND(I35&lt;&gt;"",J35&lt;&gt;""),(I35+J35)/2,0))</f>
        <v>3</v>
      </c>
      <c r="O35" s="0" t="n">
        <f aca="false">MAX(IFERROR(INDEX($P$2:$P$63,MATCH(D35,$A$2:$A$63,0)),0),IFERROR(INDEX($P$2:$P$63,MATCH(E35,$A$2:$A$63,0)),0),IFERROR(INDEX($P$2:$P$63,MATCH(F35,$A$2:$A$63,0)),0),IFERROR(INDEX($P$2:$P$63,MATCH(G35,$A$2:$A$63,0)),0))</f>
        <v>0</v>
      </c>
      <c r="P35" s="0" t="n">
        <f aca="false">O35+N35</f>
        <v>3</v>
      </c>
      <c r="Q35" s="0" t="n">
        <f aca="false">MIN(IF(COUNTIF($D$2:$D$63,$A35)=0,$N$65,_xlfn.MINIFS($R$2:$R$63,$D$2:$D$63,$A35)),IF(COUNTIF($E$2:$E$63,$A35)=0,$N$65,_xlfn.MINIFS($R$2:$R$63,$E$2:$E$63,$A35)),IF(COUNTIF($F$2:$F$63,$A35)=0,$N$65,_xlfn.MINIFS($R$2:$R$63,$F$2:$F$63,$A35)),IF(COUNTIF($G$2:$G$63,$A35)=0,$N$65,_xlfn.MINIFS($R$2:$R$63,$G$2:$G$63,$A35)))</f>
        <v>29.5</v>
      </c>
      <c r="R35" s="0" t="n">
        <f aca="false">Q35-N35</f>
        <v>26.5</v>
      </c>
      <c r="S35" s="0" t="n">
        <f aca="false">R35-O35</f>
        <v>26.5</v>
      </c>
    </row>
    <row r="36" customFormat="false" ht="12.8" hidden="false" customHeight="false" outlineLevel="0" collapsed="false">
      <c r="A36" s="1" t="s">
        <v>91</v>
      </c>
      <c r="B36" s="0" t="s">
        <v>87</v>
      </c>
      <c r="C36" s="0" t="s">
        <v>92</v>
      </c>
      <c r="D36" s="0" t="s">
        <v>86</v>
      </c>
      <c r="H36" s="0" t="n">
        <v>10</v>
      </c>
      <c r="N36" s="0" t="n">
        <f aca="false">IF(H36&lt;&gt;"",H36,IF(AND(I36&lt;&gt;"",J36&lt;&gt;""),(I36+J36)/2,0))</f>
        <v>10</v>
      </c>
      <c r="O36" s="0" t="n">
        <f aca="false">MAX(IFERROR(INDEX($P$2:$P$63,MATCH(D36,$A$2:$A$63,0)),0),IFERROR(INDEX($P$2:$P$63,MATCH(E36,$A$2:$A$63,0)),0),IFERROR(INDEX($P$2:$P$63,MATCH(F36,$A$2:$A$63,0)),0),IFERROR(INDEX($P$2:$P$63,MATCH(G36,$A$2:$A$63,0)),0))</f>
        <v>0</v>
      </c>
      <c r="P36" s="0" t="n">
        <f aca="false">O36+N36</f>
        <v>10</v>
      </c>
      <c r="Q36" s="0" t="n">
        <f aca="false">MIN(IF(COUNTIF($D$2:$D$63,$A36)=0,$N$65,_xlfn.MINIFS($R$2:$R$63,$D$2:$D$63,$A36)),IF(COUNTIF($E$2:$E$63,$A36)=0,$N$65,_xlfn.MINIFS($R$2:$R$63,$E$2:$E$63,$A36)),IF(COUNTIF($F$2:$F$63,$A36)=0,$N$65,_xlfn.MINIFS($R$2:$R$63,$F$2:$F$63,$A36)),IF(COUNTIF($G$2:$G$63,$A36)=0,$N$65,_xlfn.MINIFS($R$2:$R$63,$G$2:$G$63,$A36)))</f>
        <v>45</v>
      </c>
      <c r="R36" s="0" t="n">
        <f aca="false">Q36-N36</f>
        <v>35</v>
      </c>
      <c r="S36" s="0" t="n">
        <f aca="false">R36-O36</f>
        <v>35</v>
      </c>
    </row>
    <row r="37" customFormat="false" ht="12.8" hidden="false" customHeight="false" outlineLevel="0" collapsed="false">
      <c r="A37" s="1" t="s">
        <v>93</v>
      </c>
      <c r="B37" s="0" t="s">
        <v>87</v>
      </c>
      <c r="C37" s="0" t="s">
        <v>94</v>
      </c>
      <c r="D37" s="0" t="s">
        <v>86</v>
      </c>
      <c r="H37" s="0" t="n">
        <v>15</v>
      </c>
      <c r="N37" s="0" t="n">
        <f aca="false">IF(H37&lt;&gt;"",H37,IF(AND(I37&lt;&gt;"",J37&lt;&gt;""),(I37+J37)/2,0))</f>
        <v>15</v>
      </c>
      <c r="O37" s="0" t="n">
        <f aca="false">MAX(IFERROR(INDEX($P$2:$P$63,MATCH(D37,$A$2:$A$63,0)),0),IFERROR(INDEX($P$2:$P$63,MATCH(E37,$A$2:$A$63,0)),0),IFERROR(INDEX($P$2:$P$63,MATCH(F37,$A$2:$A$63,0)),0),IFERROR(INDEX($P$2:$P$63,MATCH(G37,$A$2:$A$63,0)),0))</f>
        <v>0</v>
      </c>
      <c r="P37" s="0" t="n">
        <f aca="false">O37+N37</f>
        <v>15</v>
      </c>
      <c r="Q37" s="0" t="n">
        <f aca="false">MIN(IF(COUNTIF($D$2:$D$63,$A37)=0,$N$65,_xlfn.MINIFS($R$2:$R$63,$D$2:$D$63,$A37)),IF(COUNTIF($E$2:$E$63,$A37)=0,$N$65,_xlfn.MINIFS($R$2:$R$63,$E$2:$E$63,$A37)),IF(COUNTIF($F$2:$F$63,$A37)=0,$N$65,_xlfn.MINIFS($R$2:$R$63,$F$2:$F$63,$A37)),IF(COUNTIF($G$2:$G$63,$A37)=0,$N$65,_xlfn.MINIFS($R$2:$R$63,$G$2:$G$63,$A37)))</f>
        <v>45</v>
      </c>
      <c r="R37" s="0" t="n">
        <f aca="false">Q37-N37</f>
        <v>30</v>
      </c>
      <c r="S37" s="0" t="n">
        <f aca="false">R37-O37</f>
        <v>30</v>
      </c>
    </row>
    <row r="38" customFormat="false" ht="12.8" hidden="false" customHeight="false" outlineLevel="0" collapsed="false">
      <c r="A38" s="1" t="s">
        <v>95</v>
      </c>
      <c r="B38" s="0" t="s">
        <v>87</v>
      </c>
      <c r="C38" s="0" t="s">
        <v>96</v>
      </c>
      <c r="D38" s="0" t="s">
        <v>86</v>
      </c>
      <c r="H38" s="0" t="n">
        <v>15</v>
      </c>
      <c r="N38" s="0" t="n">
        <f aca="false">IF(H38&lt;&gt;"",H38,IF(AND(I38&lt;&gt;"",J38&lt;&gt;""),(I38+J38)/2,0))</f>
        <v>15</v>
      </c>
      <c r="O38" s="0" t="n">
        <f aca="false">MAX(IFERROR(INDEX($P$2:$P$63,MATCH(D38,$A$2:$A$63,0)),0),IFERROR(INDEX($P$2:$P$63,MATCH(E38,$A$2:$A$63,0)),0),IFERROR(INDEX($P$2:$P$63,MATCH(F38,$A$2:$A$63,0)),0),IFERROR(INDEX($P$2:$P$63,MATCH(G38,$A$2:$A$63,0)),0))</f>
        <v>0</v>
      </c>
      <c r="P38" s="0" t="n">
        <f aca="false">O38+N38</f>
        <v>15</v>
      </c>
      <c r="Q38" s="0" t="n">
        <f aca="false">MIN(IF(COUNTIF($D$2:$D$63,$A38)=0,$N$65,_xlfn.MINIFS($R$2:$R$63,$D$2:$D$63,$A38)),IF(COUNTIF($E$2:$E$63,$A38)=0,$N$65,_xlfn.MINIFS($R$2:$R$63,$E$2:$E$63,$A38)),IF(COUNTIF($F$2:$F$63,$A38)=0,$N$65,_xlfn.MINIFS($R$2:$R$63,$F$2:$F$63,$A38)),IF(COUNTIF($G$2:$G$63,$A38)=0,$N$65,_xlfn.MINIFS($R$2:$R$63,$G$2:$G$63,$A38)))</f>
        <v>45</v>
      </c>
      <c r="R38" s="0" t="n">
        <f aca="false">Q38-N38</f>
        <v>30</v>
      </c>
      <c r="S38" s="0" t="n">
        <f aca="false">R38-O38</f>
        <v>30</v>
      </c>
    </row>
    <row r="39" customFormat="false" ht="12.8" hidden="false" customHeight="false" outlineLevel="0" collapsed="false">
      <c r="A39" s="1" t="s">
        <v>97</v>
      </c>
      <c r="B39" s="0" t="s">
        <v>87</v>
      </c>
      <c r="C39" s="0" t="s">
        <v>56</v>
      </c>
      <c r="D39" s="0" t="s">
        <v>95</v>
      </c>
      <c r="E39" s="0" t="s">
        <v>93</v>
      </c>
      <c r="F39" s="0" t="s">
        <v>91</v>
      </c>
      <c r="H39" s="0" t="n">
        <v>5</v>
      </c>
      <c r="N39" s="0" t="n">
        <f aca="false">IF(H39&lt;&gt;"",H39,IF(AND(I39&lt;&gt;"",J39&lt;&gt;""),(I39+J39)/2,0))</f>
        <v>5</v>
      </c>
      <c r="O39" s="0" t="n">
        <f aca="false">MAX(IFERROR(INDEX($P$2:$P$63,MATCH(D39,$A$2:$A$63,0)),0),IFERROR(INDEX($P$2:$P$63,MATCH(E39,$A$2:$A$63,0)),0),IFERROR(INDEX($P$2:$P$63,MATCH(F39,$A$2:$A$63,0)),0),IFERROR(INDEX($P$2:$P$63,MATCH(G39,$A$2:$A$63,0)),0))</f>
        <v>15</v>
      </c>
      <c r="P39" s="0" t="n">
        <f aca="false">O39+N39</f>
        <v>20</v>
      </c>
      <c r="Q39" s="0" t="n">
        <f aca="false">MIN(IF(COUNTIF($D$2:$D$63,$A39)=0,$N$65,_xlfn.MINIFS($R$2:$R$63,$D$2:$D$63,$A39)),IF(COUNTIF($E$2:$E$63,$A39)=0,$N$65,_xlfn.MINIFS($R$2:$R$63,$E$2:$E$63,$A39)),IF(COUNTIF($F$2:$F$63,$A39)=0,$N$65,_xlfn.MINIFS($R$2:$R$63,$F$2:$F$63,$A39)),IF(COUNTIF($G$2:$G$63,$A39)=0,$N$65,_xlfn.MINIFS($R$2:$R$63,$G$2:$G$63,$A39)))</f>
        <v>50</v>
      </c>
      <c r="R39" s="0" t="n">
        <f aca="false">Q39-N39</f>
        <v>45</v>
      </c>
      <c r="S39" s="0" t="n">
        <f aca="false">R39-O39</f>
        <v>30</v>
      </c>
    </row>
    <row r="40" customFormat="false" ht="12.8" hidden="false" customHeight="false" outlineLevel="0" collapsed="false">
      <c r="A40" s="1" t="s">
        <v>98</v>
      </c>
      <c r="B40" s="0" t="s">
        <v>87</v>
      </c>
      <c r="C40" s="0" t="s">
        <v>99</v>
      </c>
      <c r="D40" s="0" t="s">
        <v>89</v>
      </c>
      <c r="I40" s="0" t="n">
        <v>5</v>
      </c>
      <c r="J40" s="0" t="n">
        <v>8</v>
      </c>
      <c r="N40" s="0" t="n">
        <f aca="false">IF(H40&lt;&gt;"",H40,IF(AND(I40&lt;&gt;"",J40&lt;&gt;""),(I40+J40)/2,0))</f>
        <v>6.5</v>
      </c>
      <c r="O40" s="0" t="n">
        <f aca="false">MAX(IFERROR(INDEX($P$2:$P$63,MATCH(D40,$A$2:$A$63,0)),0),IFERROR(INDEX($P$2:$P$63,MATCH(E40,$A$2:$A$63,0)),0),IFERROR(INDEX($P$2:$P$63,MATCH(F40,$A$2:$A$63,0)),0),IFERROR(INDEX($P$2:$P$63,MATCH(G40,$A$2:$A$63,0)),0))</f>
        <v>3</v>
      </c>
      <c r="P40" s="0" t="n">
        <f aca="false">O40+N40</f>
        <v>9.5</v>
      </c>
      <c r="Q40" s="0" t="n">
        <f aca="false">MIN(IF(COUNTIF($D$2:$D$63,$A40)=0,$N$65,_xlfn.MINIFS($R$2:$R$63,$D$2:$D$63,$A40)),IF(COUNTIF($E$2:$E$63,$A40)=0,$N$65,_xlfn.MINIFS($R$2:$R$63,$E$2:$E$63,$A40)),IF(COUNTIF($F$2:$F$63,$A40)=0,$N$65,_xlfn.MINIFS($R$2:$R$63,$F$2:$F$63,$A40)),IF(COUNTIF($G$2:$G$63,$A40)=0,$N$65,_xlfn.MINIFS($R$2:$R$63,$G$2:$G$63,$A40)))</f>
        <v>36</v>
      </c>
      <c r="R40" s="0" t="n">
        <f aca="false">Q40-N40</f>
        <v>29.5</v>
      </c>
      <c r="S40" s="0" t="n">
        <f aca="false">R40-O40</f>
        <v>26.5</v>
      </c>
    </row>
    <row r="41" customFormat="false" ht="12.8" hidden="false" customHeight="false" outlineLevel="0" collapsed="false">
      <c r="A41" s="1" t="s">
        <v>100</v>
      </c>
      <c r="B41" s="0" t="s">
        <v>87</v>
      </c>
      <c r="C41" s="0" t="s">
        <v>44</v>
      </c>
      <c r="D41" s="0" t="s">
        <v>95</v>
      </c>
      <c r="H41" s="0" t="n">
        <v>5</v>
      </c>
      <c r="N41" s="0" t="n">
        <f aca="false">IF(H41&lt;&gt;"",H41,IF(AND(I41&lt;&gt;"",J41&lt;&gt;""),(I41+J41)/2,0))</f>
        <v>5</v>
      </c>
      <c r="O41" s="0" t="n">
        <f aca="false">MAX(IFERROR(INDEX($P$2:$P$63,MATCH(D41,$A$2:$A$63,0)),0),IFERROR(INDEX($P$2:$P$63,MATCH(E41,$A$2:$A$63,0)),0),IFERROR(INDEX($P$2:$P$63,MATCH(F41,$A$2:$A$63,0)),0),IFERROR(INDEX($P$2:$P$63,MATCH(G41,$A$2:$A$63,0)),0))</f>
        <v>15</v>
      </c>
      <c r="P41" s="0" t="n">
        <f aca="false">O41+N41</f>
        <v>20</v>
      </c>
      <c r="Q41" s="0" t="n">
        <f aca="false">MIN(IF(COUNTIF($D$2:$D$63,$A41)=0,$N$65,_xlfn.MINIFS($R$2:$R$63,$D$2:$D$63,$A41)),IF(COUNTIF($E$2:$E$63,$A41)=0,$N$65,_xlfn.MINIFS($R$2:$R$63,$E$2:$E$63,$A41)),IF(COUNTIF($F$2:$F$63,$A41)=0,$N$65,_xlfn.MINIFS($R$2:$R$63,$F$2:$F$63,$A41)),IF(COUNTIF($G$2:$G$63,$A41)=0,$N$65,_xlfn.MINIFS($R$2:$R$63,$G$2:$G$63,$A41)))</f>
        <v>438.25</v>
      </c>
      <c r="R41" s="0" t="n">
        <f aca="false">Q41-N41</f>
        <v>433.25</v>
      </c>
      <c r="S41" s="0" t="n">
        <f aca="false">R41-O41</f>
        <v>418.25</v>
      </c>
    </row>
    <row r="42" customFormat="false" ht="12.8" hidden="false" customHeight="false" outlineLevel="0" collapsed="false">
      <c r="A42" s="1" t="s">
        <v>101</v>
      </c>
      <c r="B42" s="0" t="s">
        <v>87</v>
      </c>
      <c r="C42" s="0" t="s">
        <v>102</v>
      </c>
      <c r="D42" s="0" t="s">
        <v>98</v>
      </c>
      <c r="I42" s="0" t="n">
        <v>20</v>
      </c>
      <c r="J42" s="0" t="n">
        <v>28</v>
      </c>
      <c r="L42" s="0" t="s">
        <v>103</v>
      </c>
      <c r="N42" s="0" t="n">
        <f aca="false">IF(H42&lt;&gt;"",H42,IF(AND(I42&lt;&gt;"",J42&lt;&gt;""),(I42+J42)/2,0))</f>
        <v>24</v>
      </c>
      <c r="O42" s="0" t="n">
        <f aca="false">MAX(IFERROR(INDEX($P$2:$P$63,MATCH(D42,$A$2:$A$63,0)),0),IFERROR(INDEX($P$2:$P$63,MATCH(E42,$A$2:$A$63,0)),0),IFERROR(INDEX($P$2:$P$63,MATCH(F42,$A$2:$A$63,0)),0),IFERROR(INDEX($P$2:$P$63,MATCH(G42,$A$2:$A$63,0)),0))</f>
        <v>9.5</v>
      </c>
      <c r="P42" s="0" t="n">
        <f aca="false">O42+N42</f>
        <v>33.5</v>
      </c>
      <c r="Q42" s="0" t="n">
        <f aca="false">MIN(IF(COUNTIF($D$2:$D$63,$A42)=0,$N$65,_xlfn.MINIFS($R$2:$R$63,$D$2:$D$63,$A42)),IF(COUNTIF($E$2:$E$63,$A42)=0,$N$65,_xlfn.MINIFS($R$2:$R$63,$E$2:$E$63,$A42)),IF(COUNTIF($F$2:$F$63,$A42)=0,$N$65,_xlfn.MINIFS($R$2:$R$63,$F$2:$F$63,$A42)),IF(COUNTIF($G$2:$G$63,$A42)=0,$N$65,_xlfn.MINIFS($R$2:$R$63,$G$2:$G$63,$A42)))</f>
        <v>60</v>
      </c>
      <c r="R42" s="0" t="n">
        <f aca="false">Q42-N42</f>
        <v>36</v>
      </c>
      <c r="S42" s="0" t="n">
        <f aca="false">R42-O42</f>
        <v>26.5</v>
      </c>
    </row>
    <row r="43" customFormat="false" ht="12.8" hidden="false" customHeight="false" outlineLevel="0" collapsed="false">
      <c r="A43" s="1" t="s">
        <v>104</v>
      </c>
      <c r="B43" s="0" t="s">
        <v>87</v>
      </c>
      <c r="C43" s="0" t="s">
        <v>105</v>
      </c>
      <c r="D43" s="0" t="s">
        <v>101</v>
      </c>
      <c r="H43" s="0" t="n">
        <v>5</v>
      </c>
      <c r="N43" s="0" t="n">
        <f aca="false">IF(H43&lt;&gt;"",H43,IF(AND(I43&lt;&gt;"",J43&lt;&gt;""),(I43+J43)/2,0))</f>
        <v>5</v>
      </c>
      <c r="O43" s="0" t="n">
        <f aca="false">MAX(IFERROR(INDEX($P$2:$P$63,MATCH(D43,$A$2:$A$63,0)),0),IFERROR(INDEX($P$2:$P$63,MATCH(E43,$A$2:$A$63,0)),0),IFERROR(INDEX($P$2:$P$63,MATCH(F43,$A$2:$A$63,0)),0),IFERROR(INDEX($P$2:$P$63,MATCH(G43,$A$2:$A$63,0)),0))</f>
        <v>33.5</v>
      </c>
      <c r="P43" s="0" t="n">
        <f aca="false">O43+N43</f>
        <v>38.5</v>
      </c>
      <c r="Q43" s="0" t="n">
        <f aca="false">MIN(IF(COUNTIF($D$2:$D$63,$A43)=0,$N$65,_xlfn.MINIFS($R$2:$R$63,$D$2:$D$63,$A43)),IF(COUNTIF($E$2:$E$63,$A43)=0,$N$65,_xlfn.MINIFS($R$2:$R$63,$E$2:$E$63,$A43)),IF(COUNTIF($F$2:$F$63,$A43)=0,$N$65,_xlfn.MINIFS($R$2:$R$63,$F$2:$F$63,$A43)),IF(COUNTIF($G$2:$G$63,$A43)=0,$N$65,_xlfn.MINIFS($R$2:$R$63,$G$2:$G$63,$A43)))</f>
        <v>65</v>
      </c>
      <c r="R43" s="0" t="n">
        <f aca="false">Q43-N43</f>
        <v>60</v>
      </c>
      <c r="S43" s="0" t="n">
        <f aca="false">R43-O43</f>
        <v>26.5</v>
      </c>
    </row>
    <row r="44" customFormat="false" ht="12.8" hidden="false" customHeight="false" outlineLevel="0" collapsed="false">
      <c r="A44" s="1" t="s">
        <v>106</v>
      </c>
      <c r="B44" s="0" t="s">
        <v>87</v>
      </c>
      <c r="C44" s="0" t="s">
        <v>107</v>
      </c>
      <c r="D44" s="0" t="s">
        <v>93</v>
      </c>
      <c r="E44" s="0" t="s">
        <v>95</v>
      </c>
      <c r="H44" s="0" t="n">
        <v>9</v>
      </c>
      <c r="N44" s="0" t="n">
        <f aca="false">IF(H44&lt;&gt;"",H44,IF(AND(I44&lt;&gt;"",J44&lt;&gt;""),(I44+J44)/2,0))</f>
        <v>9</v>
      </c>
      <c r="O44" s="0" t="n">
        <f aca="false">MAX(IFERROR(INDEX($P$2:$P$63,MATCH(D44,$A$2:$A$63,0)),0),IFERROR(INDEX($P$2:$P$63,MATCH(E44,$A$2:$A$63,0)),0),IFERROR(INDEX($P$2:$P$63,MATCH(F44,$A$2:$A$63,0)),0),IFERROR(INDEX($P$2:$P$63,MATCH(G44,$A$2:$A$63,0)),0))</f>
        <v>15</v>
      </c>
      <c r="P44" s="0" t="n">
        <f aca="false">O44+N44</f>
        <v>24</v>
      </c>
      <c r="Q44" s="0" t="n">
        <f aca="false">MIN(IF(COUNTIF($D$2:$D$63,$A44)=0,$N$65,_xlfn.MINIFS($R$2:$R$63,$D$2:$D$63,$A44)),IF(COUNTIF($E$2:$E$63,$A44)=0,$N$65,_xlfn.MINIFS($R$2:$R$63,$E$2:$E$63,$A44)),IF(COUNTIF($F$2:$F$63,$A44)=0,$N$65,_xlfn.MINIFS($R$2:$R$63,$F$2:$F$63,$A44)),IF(COUNTIF($G$2:$G$63,$A44)=0,$N$65,_xlfn.MINIFS($R$2:$R$63,$G$2:$G$63,$A44)))</f>
        <v>55</v>
      </c>
      <c r="R44" s="0" t="n">
        <f aca="false">Q44-N44</f>
        <v>46</v>
      </c>
      <c r="S44" s="0" t="n">
        <f aca="false">R44-O44</f>
        <v>31</v>
      </c>
    </row>
    <row r="45" customFormat="false" ht="12.8" hidden="false" customHeight="false" outlineLevel="0" collapsed="false">
      <c r="A45" s="1" t="s">
        <v>108</v>
      </c>
      <c r="B45" s="0" t="s">
        <v>87</v>
      </c>
      <c r="C45" s="0" t="s">
        <v>109</v>
      </c>
      <c r="D45" s="0" t="s">
        <v>93</v>
      </c>
      <c r="E45" s="0" t="s">
        <v>95</v>
      </c>
      <c r="H45" s="0" t="n">
        <v>3</v>
      </c>
      <c r="N45" s="0" t="n">
        <f aca="false">IF(H45&lt;&gt;"",H45,IF(AND(I45&lt;&gt;"",J45&lt;&gt;""),(I45+J45)/2,0))</f>
        <v>3</v>
      </c>
      <c r="O45" s="0" t="n">
        <f aca="false">MAX(IFERROR(INDEX($P$2:$P$63,MATCH(D45,$A$2:$A$63,0)),0),IFERROR(INDEX($P$2:$P$63,MATCH(E45,$A$2:$A$63,0)),0),IFERROR(INDEX($P$2:$P$63,MATCH(F45,$A$2:$A$63,0)),0),IFERROR(INDEX($P$2:$P$63,MATCH(G45,$A$2:$A$63,0)),0))</f>
        <v>15</v>
      </c>
      <c r="P45" s="0" t="n">
        <f aca="false">O45+N45</f>
        <v>18</v>
      </c>
      <c r="Q45" s="0" t="n">
        <f aca="false">MIN(IF(COUNTIF($D$2:$D$63,$A45)=0,$N$65,_xlfn.MINIFS($R$2:$R$63,$D$2:$D$63,$A45)),IF(COUNTIF($E$2:$E$63,$A45)=0,$N$65,_xlfn.MINIFS($R$2:$R$63,$E$2:$E$63,$A45)),IF(COUNTIF($F$2:$F$63,$A45)=0,$N$65,_xlfn.MINIFS($R$2:$R$63,$F$2:$F$63,$A45)),IF(COUNTIF($G$2:$G$63,$A45)=0,$N$65,_xlfn.MINIFS($R$2:$R$63,$G$2:$G$63,$A45)))</f>
        <v>438.25</v>
      </c>
      <c r="R45" s="0" t="n">
        <f aca="false">Q45-N45</f>
        <v>435.25</v>
      </c>
      <c r="S45" s="0" t="n">
        <f aca="false">R45-O45</f>
        <v>420.25</v>
      </c>
    </row>
    <row r="46" customFormat="false" ht="12.8" hidden="false" customHeight="false" outlineLevel="0" collapsed="false">
      <c r="A46" s="1" t="s">
        <v>110</v>
      </c>
      <c r="B46" s="0" t="s">
        <v>87</v>
      </c>
      <c r="C46" s="0" t="s">
        <v>111</v>
      </c>
      <c r="D46" s="0" t="s">
        <v>97</v>
      </c>
      <c r="H46" s="0" t="n">
        <v>5</v>
      </c>
      <c r="N46" s="0" t="n">
        <f aca="false">IF(H46&lt;&gt;"",H46,IF(AND(I46&lt;&gt;"",J46&lt;&gt;""),(I46+J46)/2,0))</f>
        <v>5</v>
      </c>
      <c r="O46" s="0" t="n">
        <f aca="false">MAX(IFERROR(INDEX($P$2:$P$63,MATCH(D46,$A$2:$A$63,0)),0),IFERROR(INDEX($P$2:$P$63,MATCH(E46,$A$2:$A$63,0)),0),IFERROR(INDEX($P$2:$P$63,MATCH(F46,$A$2:$A$63,0)),0),IFERROR(INDEX($P$2:$P$63,MATCH(G46,$A$2:$A$63,0)),0))</f>
        <v>20</v>
      </c>
      <c r="P46" s="0" t="n">
        <f aca="false">O46+N46</f>
        <v>25</v>
      </c>
      <c r="Q46" s="0" t="n">
        <f aca="false">MIN(IF(COUNTIF($D$2:$D$63,$A46)=0,$N$65,_xlfn.MINIFS($R$2:$R$63,$D$2:$D$63,$A46)),IF(COUNTIF($E$2:$E$63,$A46)=0,$N$65,_xlfn.MINIFS($R$2:$R$63,$E$2:$E$63,$A46)),IF(COUNTIF($F$2:$F$63,$A46)=0,$N$65,_xlfn.MINIFS($R$2:$R$63,$F$2:$F$63,$A46)),IF(COUNTIF($G$2:$G$63,$A46)=0,$N$65,_xlfn.MINIFS($R$2:$R$63,$G$2:$G$63,$A46)))</f>
        <v>55</v>
      </c>
      <c r="R46" s="0" t="n">
        <f aca="false">Q46-N46</f>
        <v>50</v>
      </c>
      <c r="S46" s="0" t="n">
        <f aca="false">R46-O46</f>
        <v>30</v>
      </c>
    </row>
    <row r="47" customFormat="false" ht="12.8" hidden="false" customHeight="false" outlineLevel="0" collapsed="false">
      <c r="A47" s="1" t="s">
        <v>112</v>
      </c>
      <c r="B47" s="0" t="s">
        <v>87</v>
      </c>
      <c r="C47" s="0" t="s">
        <v>58</v>
      </c>
      <c r="D47" s="0" t="s">
        <v>110</v>
      </c>
      <c r="E47" s="0" t="s">
        <v>106</v>
      </c>
      <c r="H47" s="0" t="n">
        <v>10</v>
      </c>
      <c r="N47" s="0" t="n">
        <f aca="false">IF(H47&lt;&gt;"",H47,IF(AND(I47&lt;&gt;"",J47&lt;&gt;""),(I47+J47)/2,0))</f>
        <v>10</v>
      </c>
      <c r="O47" s="0" t="n">
        <f aca="false">MAX(IFERROR(INDEX($P$2:$P$63,MATCH(D47,$A$2:$A$63,0)),0),IFERROR(INDEX($P$2:$P$63,MATCH(E47,$A$2:$A$63,0)),0),IFERROR(INDEX($P$2:$P$63,MATCH(F47,$A$2:$A$63,0)),0),IFERROR(INDEX($P$2:$P$63,MATCH(G47,$A$2:$A$63,0)),0))</f>
        <v>25</v>
      </c>
      <c r="P47" s="0" t="n">
        <f aca="false">O47+N47</f>
        <v>35</v>
      </c>
      <c r="Q47" s="0" t="n">
        <f aca="false">MIN(IF(COUNTIF($D$2:$D$63,$A47)=0,$N$65,_xlfn.MINIFS($R$2:$R$63,$D$2:$D$63,$A47)),IF(COUNTIF($E$2:$E$63,$A47)=0,$N$65,_xlfn.MINIFS($R$2:$R$63,$E$2:$E$63,$A47)),IF(COUNTIF($F$2:$F$63,$A47)=0,$N$65,_xlfn.MINIFS($R$2:$R$63,$F$2:$F$63,$A47)),IF(COUNTIF($G$2:$G$63,$A47)=0,$N$65,_xlfn.MINIFS($R$2:$R$63,$G$2:$G$63,$A47)))</f>
        <v>65</v>
      </c>
      <c r="R47" s="0" t="n">
        <f aca="false">Q47-N47</f>
        <v>55</v>
      </c>
      <c r="S47" s="0" t="n">
        <f aca="false">R47-O47</f>
        <v>30</v>
      </c>
    </row>
    <row r="48" customFormat="false" ht="12.8" hidden="false" customHeight="false" outlineLevel="0" collapsed="false">
      <c r="A48" s="1" t="s">
        <v>113</v>
      </c>
      <c r="B48" s="0" t="s">
        <v>87</v>
      </c>
      <c r="C48" s="0" t="s">
        <v>60</v>
      </c>
      <c r="D48" s="0" t="s">
        <v>110</v>
      </c>
      <c r="E48" s="0" t="s">
        <v>106</v>
      </c>
      <c r="H48" s="0" t="n">
        <v>10</v>
      </c>
      <c r="N48" s="0" t="n">
        <f aca="false">IF(H48&lt;&gt;"",H48,IF(AND(I48&lt;&gt;"",J48&lt;&gt;""),(I48+J48)/2,0))</f>
        <v>10</v>
      </c>
      <c r="O48" s="0" t="n">
        <f aca="false">MAX(IFERROR(INDEX($P$2:$P$63,MATCH(D48,$A$2:$A$63,0)),0),IFERROR(INDEX($P$2:$P$63,MATCH(E48,$A$2:$A$63,0)),0),IFERROR(INDEX($P$2:$P$63,MATCH(F48,$A$2:$A$63,0)),0),IFERROR(INDEX($P$2:$P$63,MATCH(G48,$A$2:$A$63,0)),0))</f>
        <v>25</v>
      </c>
      <c r="P48" s="0" t="n">
        <f aca="false">O48+N48</f>
        <v>35</v>
      </c>
      <c r="Q48" s="0" t="n">
        <f aca="false">MIN(IF(COUNTIF($D$2:$D$63,$A48)=0,$N$65,_xlfn.MINIFS($R$2:$R$63,$D$2:$D$63,$A48)),IF(COUNTIF($E$2:$E$63,$A48)=0,$N$65,_xlfn.MINIFS($R$2:$R$63,$E$2:$E$63,$A48)),IF(COUNTIF($F$2:$F$63,$A48)=0,$N$65,_xlfn.MINIFS($R$2:$R$63,$F$2:$F$63,$A48)),IF(COUNTIF($G$2:$G$63,$A48)=0,$N$65,_xlfn.MINIFS($R$2:$R$63,$G$2:$G$63,$A48)))</f>
        <v>65</v>
      </c>
      <c r="R48" s="0" t="n">
        <f aca="false">Q48-N48</f>
        <v>55</v>
      </c>
      <c r="S48" s="0" t="n">
        <f aca="false">R48-O48</f>
        <v>30</v>
      </c>
    </row>
    <row r="49" customFormat="false" ht="12.8" hidden="false" customHeight="false" outlineLevel="0" collapsed="false">
      <c r="A49" s="1" t="s">
        <v>22</v>
      </c>
      <c r="B49" s="0" t="s">
        <v>114</v>
      </c>
      <c r="C49" s="0" t="s">
        <v>115</v>
      </c>
      <c r="M49" s="2" t="n">
        <v>40080</v>
      </c>
      <c r="N49" s="0" t="n">
        <f aca="false">IF(H49&lt;&gt;"",H49,IF(AND(I49&lt;&gt;"",J49&lt;&gt;""),(I49+J49)/2,0))</f>
        <v>0</v>
      </c>
      <c r="O49" s="0" t="n">
        <f aca="false">MAX(IFERROR(INDEX($P$2:$P$63,MATCH(D49,$A$2:$A$63,0)),0),IFERROR(INDEX($P$2:$P$63,MATCH(E49,$A$2:$A$63,0)),0),IFERROR(INDEX($P$2:$P$63,MATCH(F49,$A$2:$A$63,0)),0),IFERROR(INDEX($P$2:$P$63,MATCH(G49,$A$2:$A$63,0)),0))</f>
        <v>0</v>
      </c>
      <c r="P49" s="0" t="n">
        <f aca="false">O49+N49</f>
        <v>0</v>
      </c>
      <c r="Q49" s="0" t="n">
        <f aca="false">MIN(IF(COUNTIF($D$2:$D$63,$A49)=0,$N$65,_xlfn.MINIFS($R$2:$R$63,$D$2:$D$63,$A49)),IF(COUNTIF($E$2:$E$63,$A49)=0,$N$65,_xlfn.MINIFS($R$2:$R$63,$E$2:$E$63,$A49)),IF(COUNTIF($F$2:$F$63,$A49)=0,$N$65,_xlfn.MINIFS($R$2:$R$63,$F$2:$F$63,$A49)),IF(COUNTIF($G$2:$G$63,$A49)=0,$N$65,_xlfn.MINIFS($R$2:$R$63,$G$2:$G$63,$A49)))</f>
        <v>0</v>
      </c>
      <c r="R49" s="0" t="n">
        <f aca="false">Q49-N49</f>
        <v>0</v>
      </c>
      <c r="S49" s="0" t="n">
        <f aca="false">R49-O49</f>
        <v>0</v>
      </c>
    </row>
    <row r="50" customFormat="false" ht="12.8" hidden="false" customHeight="false" outlineLevel="0" collapsed="false">
      <c r="A50" s="1" t="s">
        <v>116</v>
      </c>
      <c r="B50" s="0" t="s">
        <v>114</v>
      </c>
      <c r="C50" s="0" t="s">
        <v>117</v>
      </c>
      <c r="D50" s="0" t="s">
        <v>118</v>
      </c>
      <c r="M50" s="2" t="n">
        <v>40161</v>
      </c>
      <c r="N50" s="0" t="n">
        <f aca="false">IF(H50&lt;&gt;"",H50,IF(AND(I50&lt;&gt;"",J50&lt;&gt;""),(I50+J50)/2,0))</f>
        <v>0</v>
      </c>
      <c r="O50" s="0" t="n">
        <f aca="false">MAX(IFERROR(INDEX($P$2:$P$63,MATCH(D50,$A$2:$A$63,0)),0),IFERROR(INDEX($P$2:$P$63,MATCH(E50,$A$2:$A$63,0)),0),IFERROR(INDEX($P$2:$P$63,MATCH(F50,$A$2:$A$63,0)),0),IFERROR(INDEX($P$2:$P$63,MATCH(G50,$A$2:$A$63,0)),0))</f>
        <v>65</v>
      </c>
      <c r="P50" s="0" t="n">
        <f aca="false">O50+N50</f>
        <v>65</v>
      </c>
      <c r="Q50" s="0" t="n">
        <f aca="false">MIN(IF(COUNTIF($D$2:$D$63,$A50)=0,$N$65,_xlfn.MINIFS($R$2:$R$63,$D$2:$D$63,$A50)),IF(COUNTIF($E$2:$E$63,$A50)=0,$N$65,_xlfn.MINIFS($R$2:$R$63,$E$2:$E$63,$A50)),IF(COUNTIF($F$2:$F$63,$A50)=0,$N$65,_xlfn.MINIFS($R$2:$R$63,$F$2:$F$63,$A50)),IF(COUNTIF($G$2:$G$63,$A50)=0,$N$65,_xlfn.MINIFS($R$2:$R$63,$G$2:$G$63,$A50)))</f>
        <v>65</v>
      </c>
      <c r="R50" s="0" t="n">
        <f aca="false">Q50-N50</f>
        <v>65</v>
      </c>
      <c r="S50" s="0" t="n">
        <f aca="false">R50-O50</f>
        <v>0</v>
      </c>
    </row>
    <row r="51" customFormat="false" ht="12.8" hidden="false" customHeight="false" outlineLevel="0" collapsed="false">
      <c r="A51" s="1" t="s">
        <v>119</v>
      </c>
      <c r="B51" s="0" t="s">
        <v>114</v>
      </c>
      <c r="C51" s="0" t="s">
        <v>120</v>
      </c>
      <c r="D51" s="0" t="s">
        <v>116</v>
      </c>
      <c r="I51" s="0" t="n">
        <v>5</v>
      </c>
      <c r="J51" s="0" t="n">
        <v>10</v>
      </c>
      <c r="N51" s="0" t="n">
        <f aca="false">IF(H51&lt;&gt;"",H51,IF(AND(I51&lt;&gt;"",J51&lt;&gt;""),(I51+J51)/2,0))</f>
        <v>7.5</v>
      </c>
      <c r="O51" s="0" t="n">
        <f aca="false">MAX(IFERROR(INDEX($P$2:$P$63,MATCH(D51,$A$2:$A$63,0)),0),IFERROR(INDEX($P$2:$P$63,MATCH(E51,$A$2:$A$63,0)),0),IFERROR(INDEX($P$2:$P$63,MATCH(F51,$A$2:$A$63,0)),0),IFERROR(INDEX($P$2:$P$63,MATCH(G51,$A$2:$A$63,0)),0))</f>
        <v>65</v>
      </c>
      <c r="P51" s="0" t="n">
        <f aca="false">O51+N51</f>
        <v>72.5</v>
      </c>
      <c r="Q51" s="0" t="n">
        <f aca="false">MIN(IF(COUNTIF($D$2:$D$63,$A51)=0,$N$65,_xlfn.MINIFS($R$2:$R$63,$D$2:$D$63,$A51)),IF(COUNTIF($E$2:$E$63,$A51)=0,$N$65,_xlfn.MINIFS($R$2:$R$63,$E$2:$E$63,$A51)),IF(COUNTIF($F$2:$F$63,$A51)=0,$N$65,_xlfn.MINIFS($R$2:$R$63,$F$2:$F$63,$A51)),IF(COUNTIF($G$2:$G$63,$A51)=0,$N$65,_xlfn.MINIFS($R$2:$R$63,$G$2:$G$63,$A51)))</f>
        <v>72.5</v>
      </c>
      <c r="R51" s="0" t="n">
        <f aca="false">Q51-N51</f>
        <v>65</v>
      </c>
      <c r="S51" s="0" t="n">
        <f aca="false">R51-O51</f>
        <v>0</v>
      </c>
    </row>
    <row r="52" customFormat="false" ht="12.8" hidden="false" customHeight="false" outlineLevel="0" collapsed="false">
      <c r="A52" s="1" t="s">
        <v>121</v>
      </c>
      <c r="B52" s="0" t="s">
        <v>114</v>
      </c>
      <c r="C52" s="0" t="s">
        <v>122</v>
      </c>
      <c r="D52" s="0" t="s">
        <v>22</v>
      </c>
      <c r="N52" s="0" t="n">
        <f aca="false">IF(H52&lt;&gt;"",H52,IF(AND(I52&lt;&gt;"",J52&lt;&gt;""),(I52+J52)/2,0))</f>
        <v>0</v>
      </c>
      <c r="O52" s="0" t="n">
        <f aca="false">MAX(IFERROR(INDEX($P$2:$P$63,MATCH(D52,$A$2:$A$63,0)),0),IFERROR(INDEX($P$2:$P$63,MATCH(E52,$A$2:$A$63,0)),0),IFERROR(INDEX($P$2:$P$63,MATCH(F52,$A$2:$A$63,0)),0),IFERROR(INDEX($P$2:$P$63,MATCH(G52,$A$2:$A$63,0)),0))</f>
        <v>0</v>
      </c>
      <c r="P52" s="0" t="n">
        <f aca="false">O52+N52</f>
        <v>0</v>
      </c>
      <c r="Q52" s="0" t="n">
        <f aca="false">MIN(IF(COUNTIF($D$2:$D$63,$A52)=0,$N$65,_xlfn.MINIFS($R$2:$R$63,$D$2:$D$63,$A52)),IF(COUNTIF($E$2:$E$63,$A52)=0,$N$65,_xlfn.MINIFS($R$2:$R$63,$E$2:$E$63,$A52)),IF(COUNTIF($F$2:$F$63,$A52)=0,$N$65,_xlfn.MINIFS($R$2:$R$63,$F$2:$F$63,$A52)),IF(COUNTIF($G$2:$G$63,$A52)=0,$N$65,_xlfn.MINIFS($R$2:$R$63,$G$2:$G$63,$A52)))</f>
        <v>413.25</v>
      </c>
      <c r="R52" s="0" t="n">
        <f aca="false">Q52-N52</f>
        <v>413.25</v>
      </c>
      <c r="S52" s="0" t="n">
        <f aca="false">R52-O52</f>
        <v>413.25</v>
      </c>
    </row>
    <row r="53" customFormat="false" ht="12.8" hidden="false" customHeight="false" outlineLevel="0" collapsed="false">
      <c r="A53" s="1" t="s">
        <v>123</v>
      </c>
      <c r="B53" s="0" t="s">
        <v>114</v>
      </c>
      <c r="C53" s="0" t="s">
        <v>124</v>
      </c>
      <c r="D53" s="0" t="s">
        <v>121</v>
      </c>
      <c r="I53" s="0" t="n">
        <v>14</v>
      </c>
      <c r="J53" s="0" t="n">
        <v>28</v>
      </c>
      <c r="N53" s="0" t="n">
        <f aca="false">IF(H53&lt;&gt;"",H53,IF(AND(I53&lt;&gt;"",J53&lt;&gt;""),(I53+J53)/2,0))</f>
        <v>21</v>
      </c>
      <c r="O53" s="0" t="n">
        <f aca="false">MAX(IFERROR(INDEX($P$2:$P$63,MATCH(D53,$A$2:$A$63,0)),0),IFERROR(INDEX($P$2:$P$63,MATCH(E53,$A$2:$A$63,0)),0),IFERROR(INDEX($P$2:$P$63,MATCH(F53,$A$2:$A$63,0)),0),IFERROR(INDEX($P$2:$P$63,MATCH(G53,$A$2:$A$63,0)),0))</f>
        <v>0</v>
      </c>
      <c r="P53" s="0" t="n">
        <f aca="false">O53+N53</f>
        <v>21</v>
      </c>
      <c r="Q53" s="0" t="n">
        <f aca="false">MIN(IF(COUNTIF($D$2:$D$63,$A53)=0,$N$65,_xlfn.MINIFS($R$2:$R$63,$D$2:$D$63,$A53)),IF(COUNTIF($E$2:$E$63,$A53)=0,$N$65,_xlfn.MINIFS($R$2:$R$63,$E$2:$E$63,$A53)),IF(COUNTIF($F$2:$F$63,$A53)=0,$N$65,_xlfn.MINIFS($R$2:$R$63,$F$2:$F$63,$A53)),IF(COUNTIF($G$2:$G$63,$A53)=0,$N$65,_xlfn.MINIFS($R$2:$R$63,$G$2:$G$63,$A53)))</f>
        <v>434.25</v>
      </c>
      <c r="R53" s="0" t="n">
        <f aca="false">Q53-N53</f>
        <v>413.25</v>
      </c>
      <c r="S53" s="0" t="n">
        <f aca="false">R53-O53</f>
        <v>413.25</v>
      </c>
    </row>
    <row r="54" customFormat="false" ht="12.8" hidden="false" customHeight="false" outlineLevel="0" collapsed="false">
      <c r="A54" s="1" t="s">
        <v>125</v>
      </c>
      <c r="B54" s="0" t="s">
        <v>114</v>
      </c>
      <c r="C54" s="0" t="s">
        <v>126</v>
      </c>
      <c r="D54" s="0" t="s">
        <v>119</v>
      </c>
      <c r="E54" s="0" t="s">
        <v>123</v>
      </c>
      <c r="N54" s="0" t="n">
        <f aca="false">IF(H54&lt;&gt;"",H54,IF(AND(I54&lt;&gt;"",J54&lt;&gt;""),(I54+J54)/2,0))</f>
        <v>0</v>
      </c>
      <c r="O54" s="0" t="n">
        <f aca="false">MAX(IFERROR(INDEX($P$2:$P$63,MATCH(D54,$A$2:$A$63,0)),0),IFERROR(INDEX($P$2:$P$63,MATCH(E54,$A$2:$A$63,0)),0),IFERROR(INDEX($P$2:$P$63,MATCH(F54,$A$2:$A$63,0)),0),IFERROR(INDEX($P$2:$P$63,MATCH(G54,$A$2:$A$63,0)),0))</f>
        <v>72.5</v>
      </c>
      <c r="P54" s="0" t="n">
        <f aca="false">O54+N54</f>
        <v>72.5</v>
      </c>
      <c r="Q54" s="0" t="n">
        <f aca="false">MIN(IF(COUNTIF($D$2:$D$63,$A54)=0,$N$65,_xlfn.MINIFS($R$2:$R$63,$D$2:$D$63,$A54)),IF(COUNTIF($E$2:$E$63,$A54)=0,$N$65,_xlfn.MINIFS($R$2:$R$63,$E$2:$E$63,$A54)),IF(COUNTIF($F$2:$F$63,$A54)=0,$N$65,_xlfn.MINIFS($R$2:$R$63,$F$2:$F$63,$A54)),IF(COUNTIF($G$2:$G$63,$A54)=0,$N$65,_xlfn.MINIFS($R$2:$R$63,$G$2:$G$63,$A54)))</f>
        <v>434.25</v>
      </c>
      <c r="R54" s="0" t="n">
        <f aca="false">Q54-N54</f>
        <v>434.25</v>
      </c>
      <c r="S54" s="0" t="n">
        <f aca="false">R54-O54</f>
        <v>361.75</v>
      </c>
    </row>
    <row r="55" customFormat="false" ht="12.8" hidden="false" customHeight="false" outlineLevel="0" collapsed="false">
      <c r="A55" s="1" t="s">
        <v>127</v>
      </c>
      <c r="B55" s="0" t="s">
        <v>114</v>
      </c>
      <c r="C55" s="0" t="s">
        <v>128</v>
      </c>
      <c r="D55" s="0" t="s">
        <v>119</v>
      </c>
      <c r="I55" s="0" t="n">
        <v>0.5</v>
      </c>
      <c r="J55" s="0" t="n">
        <v>1</v>
      </c>
      <c r="N55" s="0" t="n">
        <f aca="false">IF(H55&lt;&gt;"",H55,IF(AND(I55&lt;&gt;"",J55&lt;&gt;""),(I55+J55)/2,0))</f>
        <v>0.75</v>
      </c>
      <c r="O55" s="0" t="n">
        <f aca="false">MAX(IFERROR(INDEX($P$2:$P$63,MATCH(D55,$A$2:$A$63,0)),0),IFERROR(INDEX($P$2:$P$63,MATCH(E55,$A$2:$A$63,0)),0),IFERROR(INDEX($P$2:$P$63,MATCH(F55,$A$2:$A$63,0)),0),IFERROR(INDEX($P$2:$P$63,MATCH(G55,$A$2:$A$63,0)),0))</f>
        <v>72.5</v>
      </c>
      <c r="P55" s="0" t="n">
        <f aca="false">O55+N55</f>
        <v>73.25</v>
      </c>
      <c r="Q55" s="0" t="n">
        <f aca="false">MIN(IF(COUNTIF($D$2:$D$63,$A55)=0,$N$65,_xlfn.MINIFS($R$2:$R$63,$D$2:$D$63,$A55)),IF(COUNTIF($E$2:$E$63,$A55)=0,$N$65,_xlfn.MINIFS($R$2:$R$63,$E$2:$E$63,$A55)),IF(COUNTIF($F$2:$F$63,$A55)=0,$N$65,_xlfn.MINIFS($R$2:$R$63,$F$2:$F$63,$A55)),IF(COUNTIF($G$2:$G$63,$A55)=0,$N$65,_xlfn.MINIFS($R$2:$R$63,$G$2:$G$63,$A55)))</f>
        <v>73.25</v>
      </c>
      <c r="R55" s="0" t="n">
        <f aca="false">Q55-N55</f>
        <v>72.5</v>
      </c>
      <c r="S55" s="0" t="n">
        <f aca="false">R55-O55</f>
        <v>0</v>
      </c>
    </row>
    <row r="56" customFormat="false" ht="12.8" hidden="false" customHeight="false" outlineLevel="0" collapsed="false">
      <c r="A56" s="1" t="s">
        <v>129</v>
      </c>
      <c r="B56" s="0" t="s">
        <v>114</v>
      </c>
      <c r="C56" s="0" t="s">
        <v>130</v>
      </c>
      <c r="D56" s="0" t="s">
        <v>119</v>
      </c>
      <c r="N56" s="0" t="n">
        <f aca="false">IF(H56&lt;&gt;"",H56,IF(AND(I56&lt;&gt;"",J56&lt;&gt;""),(I56+J56)/2,0))</f>
        <v>0</v>
      </c>
      <c r="O56" s="0" t="n">
        <f aca="false">MAX(IFERROR(INDEX($P$2:$P$63,MATCH(D56,$A$2:$A$63,0)),0),IFERROR(INDEX($P$2:$P$63,MATCH(E56,$A$2:$A$63,0)),0),IFERROR(INDEX($P$2:$P$63,MATCH(F56,$A$2:$A$63,0)),0),IFERROR(INDEX($P$2:$P$63,MATCH(G56,$A$2:$A$63,0)),0))</f>
        <v>72.5</v>
      </c>
      <c r="P56" s="0" t="n">
        <f aca="false">O56+N56</f>
        <v>72.5</v>
      </c>
      <c r="Q56" s="0" t="n">
        <f aca="false">MIN(IF(COUNTIF($D$2:$D$63,$A56)=0,$N$65,_xlfn.MINIFS($R$2:$R$63,$D$2:$D$63,$A56)),IF(COUNTIF($E$2:$E$63,$A56)=0,$N$65,_xlfn.MINIFS($R$2:$R$63,$E$2:$E$63,$A56)),IF(COUNTIF($F$2:$F$63,$A56)=0,$N$65,_xlfn.MINIFS($R$2:$R$63,$F$2:$F$63,$A56)),IF(COUNTIF($G$2:$G$63,$A56)=0,$N$65,_xlfn.MINIFS($R$2:$R$63,$G$2:$G$63,$A56)))</f>
        <v>438.25</v>
      </c>
      <c r="R56" s="0" t="n">
        <f aca="false">Q56-N56</f>
        <v>438.25</v>
      </c>
      <c r="S56" s="0" t="n">
        <f aca="false">R56-O56</f>
        <v>365.75</v>
      </c>
    </row>
    <row r="57" customFormat="false" ht="12.8" hidden="false" customHeight="false" outlineLevel="0" collapsed="false">
      <c r="A57" s="1" t="s">
        <v>131</v>
      </c>
      <c r="B57" s="0" t="s">
        <v>114</v>
      </c>
      <c r="C57" s="0" t="s">
        <v>132</v>
      </c>
      <c r="D57" s="0" t="s">
        <v>127</v>
      </c>
      <c r="H57" s="0" t="n">
        <v>365</v>
      </c>
      <c r="N57" s="0" t="n">
        <f aca="false">IF(H57&lt;&gt;"",H57,IF(AND(I57&lt;&gt;"",J57&lt;&gt;""),(I57+J57)/2,0))</f>
        <v>365</v>
      </c>
      <c r="O57" s="0" t="n">
        <f aca="false">MAX(IFERROR(INDEX($P$2:$P$63,MATCH(D57,$A$2:$A$63,0)),0),IFERROR(INDEX($P$2:$P$63,MATCH(E57,$A$2:$A$63,0)),0),IFERROR(INDEX($P$2:$P$63,MATCH(F57,$A$2:$A$63,0)),0),IFERROR(INDEX($P$2:$P$63,MATCH(G57,$A$2:$A$63,0)),0))</f>
        <v>73.25</v>
      </c>
      <c r="P57" s="0" t="n">
        <f aca="false">O57+N57</f>
        <v>438.25</v>
      </c>
      <c r="Q57" s="0" t="n">
        <f aca="false">MIN(IF(COUNTIF($D$2:$D$63,$A57)=0,$N$65,_xlfn.MINIFS($R$2:$R$63,$D$2:$D$63,$A57)),IF(COUNTIF($E$2:$E$63,$A57)=0,$N$65,_xlfn.MINIFS($R$2:$R$63,$E$2:$E$63,$A57)),IF(COUNTIF($F$2:$F$63,$A57)=0,$N$65,_xlfn.MINIFS($R$2:$R$63,$F$2:$F$63,$A57)),IF(COUNTIF($G$2:$G$63,$A57)=0,$N$65,_xlfn.MINIFS($R$2:$R$63,$G$2:$G$63,$A57)))</f>
        <v>438.25</v>
      </c>
      <c r="R57" s="0" t="n">
        <f aca="false">Q57-N57</f>
        <v>73.25</v>
      </c>
      <c r="S57" s="0" t="n">
        <f aca="false">R57-O57</f>
        <v>0</v>
      </c>
    </row>
    <row r="58" customFormat="false" ht="12.8" hidden="false" customHeight="false" outlineLevel="0" collapsed="false">
      <c r="A58" s="1" t="s">
        <v>133</v>
      </c>
      <c r="B58" s="0" t="s">
        <v>114</v>
      </c>
      <c r="C58" s="0" t="s">
        <v>134</v>
      </c>
      <c r="D58" s="0" t="s">
        <v>125</v>
      </c>
      <c r="H58" s="0" t="n">
        <v>4</v>
      </c>
      <c r="N58" s="0" t="n">
        <f aca="false">IF(H58&lt;&gt;"",H58,IF(AND(I58&lt;&gt;"",J58&lt;&gt;""),(I58+J58)/2,0))</f>
        <v>4</v>
      </c>
      <c r="O58" s="0" t="n">
        <f aca="false">MAX(IFERROR(INDEX($P$2:$P$63,MATCH(D58,$A$2:$A$63,0)),0),IFERROR(INDEX($P$2:$P$63,MATCH(E58,$A$2:$A$63,0)),0),IFERROR(INDEX($P$2:$P$63,MATCH(F58,$A$2:$A$63,0)),0),IFERROR(INDEX($P$2:$P$63,MATCH(G58,$A$2:$A$63,0)),0))</f>
        <v>72.5</v>
      </c>
      <c r="P58" s="0" t="n">
        <f aca="false">O58+N58</f>
        <v>76.5</v>
      </c>
      <c r="Q58" s="0" t="n">
        <f aca="false">MIN(IF(COUNTIF($D$2:$D$63,$A58)=0,$N$65,_xlfn.MINIFS($R$2:$R$63,$D$2:$D$63,$A58)),IF(COUNTIF($E$2:$E$63,$A58)=0,$N$65,_xlfn.MINIFS($R$2:$R$63,$E$2:$E$63,$A58)),IF(COUNTIF($F$2:$F$63,$A58)=0,$N$65,_xlfn.MINIFS($R$2:$R$63,$F$2:$F$63,$A58)),IF(COUNTIF($G$2:$G$63,$A58)=0,$N$65,_xlfn.MINIFS($R$2:$R$63,$G$2:$G$63,$A58)))</f>
        <v>438.25</v>
      </c>
      <c r="R58" s="0" t="n">
        <f aca="false">Q58-N58</f>
        <v>434.25</v>
      </c>
      <c r="S58" s="0" t="n">
        <f aca="false">R58-O58</f>
        <v>361.75</v>
      </c>
    </row>
    <row r="59" customFormat="false" ht="12.8" hidden="false" customHeight="false" outlineLevel="0" collapsed="false">
      <c r="A59" s="1" t="s">
        <v>135</v>
      </c>
      <c r="B59" s="0" t="s">
        <v>114</v>
      </c>
      <c r="C59" s="0" t="s">
        <v>136</v>
      </c>
      <c r="D59" s="0" t="s">
        <v>113</v>
      </c>
      <c r="E59" s="0" t="s">
        <v>112</v>
      </c>
      <c r="F59" s="0" t="s">
        <v>104</v>
      </c>
      <c r="N59" s="0" t="n">
        <f aca="false">IF(H59&lt;&gt;"",H59,IF(AND(I59&lt;&gt;"",J59&lt;&gt;""),(I59+J59)/2,0))</f>
        <v>0</v>
      </c>
      <c r="O59" s="0" t="n">
        <f aca="false">MAX(IFERROR(INDEX($P$2:$P$63,MATCH(D59,$A$2:$A$63,0)),0),IFERROR(INDEX($P$2:$P$63,MATCH(E59,$A$2:$A$63,0)),0),IFERROR(INDEX($P$2:$P$63,MATCH(F59,$A$2:$A$63,0)),0),IFERROR(INDEX($P$2:$P$63,MATCH(G59,$A$2:$A$63,0)),0))</f>
        <v>38.5</v>
      </c>
      <c r="P59" s="0" t="n">
        <f aca="false">O59+N59</f>
        <v>38.5</v>
      </c>
      <c r="Q59" s="0" t="n">
        <f aca="false">MIN(IF(COUNTIF($D$2:$D$63,$A59)=0,$N$65,_xlfn.MINIFS($R$2:$R$63,$D$2:$D$63,$A59)),IF(COUNTIF($E$2:$E$63,$A59)=0,$N$65,_xlfn.MINIFS($R$2:$R$63,$E$2:$E$63,$A59)),IF(COUNTIF($F$2:$F$63,$A59)=0,$N$65,_xlfn.MINIFS($R$2:$R$63,$F$2:$F$63,$A59)),IF(COUNTIF($G$2:$G$63,$A59)=0,$N$65,_xlfn.MINIFS($R$2:$R$63,$G$2:$G$63,$A59)))</f>
        <v>65</v>
      </c>
      <c r="R59" s="0" t="n">
        <f aca="false">Q59-N59</f>
        <v>65</v>
      </c>
      <c r="S59" s="0" t="n">
        <f aca="false">R59-O59</f>
        <v>26.5</v>
      </c>
    </row>
    <row r="60" customFormat="false" ht="12.8" hidden="false" customHeight="false" outlineLevel="0" collapsed="false">
      <c r="A60" s="1" t="s">
        <v>137</v>
      </c>
      <c r="B60" s="0" t="s">
        <v>114</v>
      </c>
      <c r="C60" s="0" t="s">
        <v>138</v>
      </c>
      <c r="D60" s="0" t="s">
        <v>82</v>
      </c>
      <c r="E60" s="0" t="s">
        <v>84</v>
      </c>
      <c r="F60" s="0" t="s">
        <v>79</v>
      </c>
      <c r="G60" s="0" t="s">
        <v>71</v>
      </c>
      <c r="N60" s="0" t="n">
        <f aca="false">IF(H60&lt;&gt;"",H60,IF(AND(I60&lt;&gt;"",J60&lt;&gt;""),(I60+J60)/2,0))</f>
        <v>0</v>
      </c>
      <c r="O60" s="0" t="n">
        <f aca="false">MAX(IFERROR(INDEX($P$2:$P$63,MATCH(D60,$A$2:$A$63,0)),0),IFERROR(INDEX($P$2:$P$63,MATCH(E60,$A$2:$A$63,0)),0),IFERROR(INDEX($P$2:$P$63,MATCH(F60,$A$2:$A$63,0)),0),IFERROR(INDEX($P$2:$P$63,MATCH(G60,$A$2:$A$63,0)),0))</f>
        <v>62</v>
      </c>
      <c r="P60" s="0" t="n">
        <f aca="false">O60+N60</f>
        <v>62</v>
      </c>
      <c r="Q60" s="0" t="n">
        <f aca="false">MIN(IF(COUNTIF($D$2:$D$63,$A60)=0,$N$65,_xlfn.MINIFS($R$2:$R$63,$D$2:$D$63,$A60)),IF(COUNTIF($E$2:$E$63,$A60)=0,$N$65,_xlfn.MINIFS($R$2:$R$63,$E$2:$E$63,$A60)),IF(COUNTIF($F$2:$F$63,$A60)=0,$N$65,_xlfn.MINIFS($R$2:$R$63,$F$2:$F$63,$A60)),IF(COUNTIF($G$2:$G$63,$A60)=0,$N$65,_xlfn.MINIFS($R$2:$R$63,$G$2:$G$63,$A60)))</f>
        <v>65</v>
      </c>
      <c r="R60" s="0" t="n">
        <f aca="false">Q60-N60</f>
        <v>65</v>
      </c>
      <c r="S60" s="0" t="n">
        <f aca="false">R60-O60</f>
        <v>3</v>
      </c>
    </row>
    <row r="61" customFormat="false" ht="12.8" hidden="false" customHeight="false" outlineLevel="0" collapsed="false">
      <c r="A61" s="1" t="s">
        <v>139</v>
      </c>
      <c r="B61" s="0" t="s">
        <v>114</v>
      </c>
      <c r="C61" s="0" t="s">
        <v>140</v>
      </c>
      <c r="D61" s="0" t="s">
        <v>36</v>
      </c>
      <c r="N61" s="0" t="n">
        <f aca="false">IF(H61&lt;&gt;"",H61,IF(AND(I61&lt;&gt;"",J61&lt;&gt;""),(I61+J61)/2,0))</f>
        <v>0</v>
      </c>
      <c r="O61" s="0" t="n">
        <f aca="false">MAX(IFERROR(INDEX($P$2:$P$63,MATCH(D61,$A$2:$A$63,0)),0),IFERROR(INDEX($P$2:$P$63,MATCH(E61,$A$2:$A$63,0)),0),IFERROR(INDEX($P$2:$P$63,MATCH(F61,$A$2:$A$63,0)),0),IFERROR(INDEX($P$2:$P$63,MATCH(G61,$A$2:$A$63,0)),0))</f>
        <v>45.5</v>
      </c>
      <c r="P61" s="0" t="n">
        <f aca="false">O61+N61</f>
        <v>45.5</v>
      </c>
      <c r="Q61" s="0" t="n">
        <f aca="false">MIN(IF(COUNTIF($D$2:$D$63,$A61)=0,$N$65,_xlfn.MINIFS($R$2:$R$63,$D$2:$D$63,$A61)),IF(COUNTIF($E$2:$E$63,$A61)=0,$N$65,_xlfn.MINIFS($R$2:$R$63,$E$2:$E$63,$A61)),IF(COUNTIF($F$2:$F$63,$A61)=0,$N$65,_xlfn.MINIFS($R$2:$R$63,$F$2:$F$63,$A61)),IF(COUNTIF($G$2:$G$63,$A61)=0,$N$65,_xlfn.MINIFS($R$2:$R$63,$G$2:$G$63,$A61)))</f>
        <v>65</v>
      </c>
      <c r="R61" s="0" t="n">
        <f aca="false">Q61-N61</f>
        <v>65</v>
      </c>
      <c r="S61" s="0" t="n">
        <f aca="false">R61-O61</f>
        <v>19.5</v>
      </c>
    </row>
    <row r="62" customFormat="false" ht="12.8" hidden="false" customHeight="false" outlineLevel="0" collapsed="false">
      <c r="A62" s="1" t="s">
        <v>141</v>
      </c>
      <c r="B62" s="0" t="s">
        <v>114</v>
      </c>
      <c r="C62" s="0" t="s">
        <v>142</v>
      </c>
      <c r="D62" s="0" t="s">
        <v>57</v>
      </c>
      <c r="E62" s="0" t="s">
        <v>59</v>
      </c>
      <c r="N62" s="0" t="n">
        <f aca="false">IF(H62&lt;&gt;"",H62,IF(AND(I62&lt;&gt;"",J62&lt;&gt;""),(I62+J62)/2,0))</f>
        <v>0</v>
      </c>
      <c r="O62" s="0" t="n">
        <f aca="false">MAX(IFERROR(INDEX($P$2:$P$63,MATCH(D62,$A$2:$A$63,0)),0),IFERROR(INDEX($P$2:$P$63,MATCH(E62,$A$2:$A$63,0)),0),IFERROR(INDEX($P$2:$P$63,MATCH(F62,$A$2:$A$63,0)),0),IFERROR(INDEX($P$2:$P$63,MATCH(G62,$A$2:$A$63,0)),0))</f>
        <v>65</v>
      </c>
      <c r="P62" s="0" t="n">
        <f aca="false">O62+N62</f>
        <v>65</v>
      </c>
      <c r="Q62" s="0" t="n">
        <f aca="false">MIN(IF(COUNTIF($D$2:$D$63,$A62)=0,$N$65,_xlfn.MINIFS($R$2:$R$63,$D$2:$D$63,$A62)),IF(COUNTIF($E$2:$E$63,$A62)=0,$N$65,_xlfn.MINIFS($R$2:$R$63,$E$2:$E$63,$A62)),IF(COUNTIF($F$2:$F$63,$A62)=0,$N$65,_xlfn.MINIFS($R$2:$R$63,$F$2:$F$63,$A62)),IF(COUNTIF($G$2:$G$63,$A62)=0,$N$65,_xlfn.MINIFS($R$2:$R$63,$G$2:$G$63,$A62)))</f>
        <v>65</v>
      </c>
      <c r="R62" s="0" t="n">
        <f aca="false">Q62-N62</f>
        <v>65</v>
      </c>
      <c r="S62" s="0" t="n">
        <f aca="false">R62-O62</f>
        <v>0</v>
      </c>
    </row>
    <row r="63" customFormat="false" ht="12.8" hidden="false" customHeight="false" outlineLevel="0" collapsed="false">
      <c r="A63" s="0" t="s">
        <v>118</v>
      </c>
      <c r="B63" s="0" t="s">
        <v>114</v>
      </c>
      <c r="C63" s="0" t="s">
        <v>143</v>
      </c>
      <c r="D63" s="0" t="s">
        <v>141</v>
      </c>
      <c r="E63" s="0" t="s">
        <v>137</v>
      </c>
      <c r="F63" s="0" t="s">
        <v>135</v>
      </c>
      <c r="G63" s="0" t="s">
        <v>139</v>
      </c>
      <c r="N63" s="0" t="n">
        <f aca="false">IF(H63&lt;&gt;"",H63,IF(AND(I63&lt;&gt;"",J63&lt;&gt;""),(I63+J63)/2,0))</f>
        <v>0</v>
      </c>
      <c r="O63" s="0" t="n">
        <f aca="false">MAX(IFERROR(INDEX($P$2:$P$63,MATCH(D63,$A$2:$A$63,0)),0),IFERROR(INDEX($P$2:$P$63,MATCH(E63,$A$2:$A$63,0)),0),IFERROR(INDEX($P$2:$P$63,MATCH(F63,$A$2:$A$63,0)),0),IFERROR(INDEX($P$2:$P$63,MATCH(G63,$A$2:$A$63,0)),0))</f>
        <v>65</v>
      </c>
      <c r="P63" s="0" t="n">
        <f aca="false">O63+N63</f>
        <v>65</v>
      </c>
      <c r="Q63" s="0" t="n">
        <f aca="false">MIN(IF(COUNTIF($D$2:$D$63,$A63)=0,$N$65,_xlfn.MINIFS($R$2:$R$63,$D$2:$D$63,$A63)),IF(COUNTIF($E$2:$E$63,$A63)=0,$N$65,_xlfn.MINIFS($R$2:$R$63,$E$2:$E$63,$A63)),IF(COUNTIF($F$2:$F$63,$A63)=0,$N$65,_xlfn.MINIFS($R$2:$R$63,$F$2:$F$63,$A63)),IF(COUNTIF($G$2:$G$63,$A63)=0,$N$65,_xlfn.MINIFS($R$2:$R$63,$G$2:$G$63,$A63)))</f>
        <v>65</v>
      </c>
      <c r="R63" s="0" t="n">
        <f aca="false">Q63-N63</f>
        <v>65</v>
      </c>
      <c r="S63" s="0" t="n">
        <f aca="false">R63-O63</f>
        <v>0</v>
      </c>
    </row>
    <row r="65" customFormat="false" ht="12.8" hidden="false" customHeight="false" outlineLevel="0" collapsed="false">
      <c r="M65" s="0" t="s">
        <v>144</v>
      </c>
      <c r="N65" s="0" t="n">
        <f aca="false">MAX(P2:P63)</f>
        <v>438.25</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5" activeCellId="0" sqref="A5"/>
    </sheetView>
  </sheetViews>
  <sheetFormatPr defaultColWidth="11.53515625" defaultRowHeight="12.8" zeroHeight="false" outlineLevelRow="0" outlineLevelCol="0"/>
  <cols>
    <col collapsed="false" customWidth="true" hidden="false" outlineLevel="0" max="1" min="1" style="0" width="88.04"/>
  </cols>
  <sheetData>
    <row r="1" customFormat="false" ht="39.25" hidden="false" customHeight="true" outlineLevel="0" collapsed="false">
      <c r="A1" s="0" t="s">
        <v>145</v>
      </c>
    </row>
    <row r="2" customFormat="false" ht="35.7" hidden="false" customHeight="true" outlineLevel="0" collapsed="false">
      <c r="A2" s="0" t="s">
        <v>146</v>
      </c>
    </row>
    <row r="3" customFormat="false" ht="42.85" hidden="false" customHeight="true" outlineLevel="0" collapsed="false">
      <c r="A3" s="0" t="s">
        <v>147</v>
      </c>
    </row>
    <row r="4" customFormat="false" ht="50.85" hidden="false" customHeight="true" outlineLevel="0" collapsed="false">
      <c r="A4" s="3" t="s">
        <v>148</v>
      </c>
    </row>
    <row r="5" customFormat="false" ht="40.15" hidden="false" customHeight="true" outlineLevel="0" collapsed="false"/>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977</TotalTime>
  <Application>LibreOffice/24.8.4.2$MacOSX_AARCH64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2026-06-30T01:28:08Z</dcterms:created>
  <dc:creator/>
  <dc:description/>
  <dc:language>en-US</dc:language>
  <cp:lastModifiedBy/>
  <dcterms:modified xsi:type="dcterms:W3CDTF">2026-07-03T11:13:31Z</dcterms:modified>
  <cp:revision>32</cp:revision>
  <dc:subject/>
  <dc:title/>
</cp:coreProperties>
</file>